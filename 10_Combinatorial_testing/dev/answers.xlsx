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406a94c0b4a41/Documents/SW Test courses/Shared course materials/Exercises/10 Combinatorial testing/dev/"/>
    </mc:Choice>
  </mc:AlternateContent>
  <xr:revisionPtr revIDLastSave="199" documentId="8_{BD19B3E4-6125-4525-9AEA-F55193A8E7E0}" xr6:coauthVersionLast="47" xr6:coauthVersionMax="47" xr10:uidLastSave="{894F5A32-6A1F-40D0-A524-4F2991DF2E22}"/>
  <bookViews>
    <workbookView xWindow="-108" yWindow="-108" windowWidth="30936" windowHeight="16656" xr2:uid="{7878E774-CF62-4189-B972-27A8F01D39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3" i="1" l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72" i="1"/>
  <c r="G56" i="1"/>
  <c r="G57" i="1"/>
  <c r="G58" i="1"/>
  <c r="G59" i="1"/>
  <c r="G60" i="1"/>
  <c r="G61" i="1"/>
  <c r="G62" i="1"/>
  <c r="G63" i="1"/>
  <c r="G64" i="1"/>
  <c r="G65" i="1"/>
  <c r="G66" i="1"/>
  <c r="G67" i="1"/>
  <c r="G49" i="1"/>
  <c r="G50" i="1"/>
  <c r="G51" i="1"/>
  <c r="G52" i="1"/>
  <c r="G53" i="1"/>
  <c r="G54" i="1"/>
  <c r="G55" i="1"/>
  <c r="G48" i="1"/>
  <c r="G32" i="1"/>
  <c r="G33" i="1"/>
  <c r="G34" i="1"/>
  <c r="G35" i="1"/>
  <c r="G36" i="1"/>
  <c r="G37" i="1"/>
  <c r="G38" i="1"/>
  <c r="G39" i="1"/>
  <c r="G40" i="1"/>
  <c r="G41" i="1"/>
  <c r="G42" i="1"/>
  <c r="G43" i="1"/>
  <c r="G31" i="1"/>
  <c r="B10" i="1"/>
  <c r="B9" i="1"/>
</calcChain>
</file>

<file path=xl/sharedStrings.xml><?xml version="1.0" encoding="utf-8"?>
<sst xmlns="http://schemas.openxmlformats.org/spreadsheetml/2006/main" count="1150" uniqueCount="66">
  <si>
    <t>Model</t>
  </si>
  <si>
    <t>Storage</t>
  </si>
  <si>
    <t>Color</t>
  </si>
  <si>
    <t>Network</t>
  </si>
  <si>
    <t>Accessory</t>
  </si>
  <si>
    <t>Pixel 9</t>
  </si>
  <si>
    <t xml:space="preserve"> Pixel 9 Pro</t>
  </si>
  <si>
    <t xml:space="preserve"> Pixel 9 Pro XL</t>
  </si>
  <si>
    <t>128GB</t>
  </si>
  <si>
    <t xml:space="preserve"> 256GB</t>
  </si>
  <si>
    <t xml:space="preserve"> 512GB</t>
  </si>
  <si>
    <t xml:space="preserve"> 1TB</t>
  </si>
  <si>
    <t>Black</t>
  </si>
  <si>
    <t xml:space="preserve"> Red</t>
  </si>
  <si>
    <t xml:space="preserve"> Silver</t>
  </si>
  <si>
    <t xml:space="preserve"> Blue</t>
  </si>
  <si>
    <t>5G</t>
  </si>
  <si>
    <t xml:space="preserve"> 4G</t>
  </si>
  <si>
    <t>None</t>
  </si>
  <si>
    <t xml:space="preserve"> Case</t>
  </si>
  <si>
    <t xml:space="preserve"> Charger</t>
  </si>
  <si>
    <t xml:space="preserve"> Earbuds</t>
  </si>
  <si>
    <t>4G</t>
  </si>
  <si>
    <t>The base table</t>
  </si>
  <si>
    <t>Q1</t>
  </si>
  <si>
    <t xml:space="preserve">=3 x 4 x 4 x 2 x 4 </t>
  </si>
  <si>
    <t>Q2</t>
  </si>
  <si>
    <t>=(3*4*4*2*4*3*3*2)*12/3600</t>
  </si>
  <si>
    <t>Q3</t>
  </si>
  <si>
    <t>Correct</t>
  </si>
  <si>
    <t>Incorrect</t>
  </si>
  <si>
    <t>Pink</t>
  </si>
  <si>
    <t>missing 4G</t>
  </si>
  <si>
    <t>Q4</t>
  </si>
  <si>
    <t>Paramater</t>
  </si>
  <si>
    <t>Value1</t>
  </si>
  <si>
    <t>Value2</t>
  </si>
  <si>
    <t>Value3</t>
  </si>
  <si>
    <t>Value4</t>
  </si>
  <si>
    <t>Price</t>
  </si>
  <si>
    <t>Item</t>
  </si>
  <si>
    <t>Price (in NIS)</t>
  </si>
  <si>
    <t>Q5</t>
  </si>
  <si>
    <t>Pixel 9 Pro</t>
  </si>
  <si>
    <t>Pixel 9 Pro XL</t>
  </si>
  <si>
    <t>256GB</t>
  </si>
  <si>
    <t>512GB</t>
  </si>
  <si>
    <t>1TB</t>
  </si>
  <si>
    <t>Red</t>
  </si>
  <si>
    <t>Silver</t>
  </si>
  <si>
    <t>Blue</t>
  </si>
  <si>
    <t>Case</t>
  </si>
  <si>
    <t>Charger</t>
  </si>
  <si>
    <t>Earbuds</t>
  </si>
  <si>
    <t>All pairs</t>
  </si>
  <si>
    <t>Expected price</t>
  </si>
  <si>
    <t>All triplets</t>
  </si>
  <si>
    <t>Answer</t>
  </si>
  <si>
    <t>Q5 / Q6</t>
  </si>
  <si>
    <t>Q6</t>
  </si>
  <si>
    <t>[</t>
  </si>
  <si>
    <t>{ "conditions": { "Storage": "512GB", "Network": "4G" }, "effect": { "type": "delta", "value": 1} },</t>
  </si>
  <si>
    <t>{ "conditions": { "Model": "Pixel 9 Pro", "Accessory": "Earbuds" }, "effect": { "type": "string", "value": "Sold out" } },</t>
  </si>
  <si>
    <t>{ "conditions": { "Storage": "1TB", "Network": "4G", "Color": "Red" }, "effect": { "type": "delta", "value": -1 } }</t>
  </si>
  <si>
    <t>]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</si>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</sst>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4" fillId="0" borderId="0" xfId="0" applyFont="1"/>
    <xf numFmtId="0" fontId="0" fillId="0" borderId="0" xfId="0" quotePrefix="1"/>
    <xf numFmtId="0" fontId="1" fillId="2" borderId="0" xfId="1"/>
    <xf numFmtId="0" fontId="2" fillId="3" borderId="0" xfId="2"/>
    <xf numFmtId="0" fontId="3" fillId="4" borderId="0" xfId="3"/>
    <xf numFmtId="0" fontId="6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0DEA-F9BC-4B54-9010-B934D909858D}">
  <dimension ref="A1:P142"/>
  <sheetViews>
    <sheetView tabSelected="1" topLeftCell="A25" workbookViewId="0">
      <selection activeCell="K56" sqref="K56:O58"/>
    </sheetView>
  </sheetViews>
  <sheetFormatPr defaultRowHeight="14.4" x14ac:dyDescent="0.3"/>
  <cols>
    <col min="2" max="2" width="23.6640625" customWidth="1"/>
    <col min="3" max="3" width="17.5546875" customWidth="1"/>
    <col min="4" max="4" width="22.77734375" customWidth="1"/>
    <col min="5" max="5" width="13" customWidth="1"/>
    <col min="7" max="7" width="10" bestFit="1" customWidth="1"/>
    <col min="8" max="8" width="9.77734375" bestFit="1" customWidth="1"/>
    <col min="14" max="14" width="12.77734375" customWidth="1"/>
  </cols>
  <sheetData>
    <row r="1" spans="1:15" x14ac:dyDescent="0.3">
      <c r="A1" s="1" t="s">
        <v>23</v>
      </c>
      <c r="H1" s="1" t="s">
        <v>39</v>
      </c>
    </row>
    <row r="2" spans="1:15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N2" s="1" t="s">
        <v>40</v>
      </c>
      <c r="O2" s="1" t="s">
        <v>41</v>
      </c>
    </row>
    <row r="3" spans="1:15" x14ac:dyDescent="0.3">
      <c r="A3" t="s">
        <v>0</v>
      </c>
      <c r="B3" t="s">
        <v>5</v>
      </c>
      <c r="C3" t="s">
        <v>6</v>
      </c>
      <c r="D3" t="s">
        <v>7</v>
      </c>
      <c r="H3" t="s">
        <v>0</v>
      </c>
      <c r="I3" t="s">
        <v>5</v>
      </c>
      <c r="J3" t="s">
        <v>6</v>
      </c>
      <c r="K3" t="s">
        <v>7</v>
      </c>
      <c r="N3" t="s">
        <v>5</v>
      </c>
      <c r="O3">
        <v>900</v>
      </c>
    </row>
    <row r="4" spans="1:15" x14ac:dyDescent="0.3">
      <c r="A4" t="s">
        <v>1</v>
      </c>
      <c r="B4" t="s">
        <v>8</v>
      </c>
      <c r="C4" t="s">
        <v>9</v>
      </c>
      <c r="D4" t="s">
        <v>10</v>
      </c>
      <c r="E4" t="s">
        <v>11</v>
      </c>
      <c r="H4" t="s">
        <v>1</v>
      </c>
      <c r="I4" t="s">
        <v>8</v>
      </c>
      <c r="J4" t="s">
        <v>9</v>
      </c>
      <c r="K4" t="s">
        <v>10</v>
      </c>
      <c r="L4" t="s">
        <v>11</v>
      </c>
      <c r="N4" t="s">
        <v>43</v>
      </c>
      <c r="O4">
        <v>1050</v>
      </c>
    </row>
    <row r="5" spans="1:15" x14ac:dyDescent="0.3">
      <c r="A5" t="s">
        <v>2</v>
      </c>
      <c r="B5" t="s">
        <v>12</v>
      </c>
      <c r="C5" t="s">
        <v>13</v>
      </c>
      <c r="D5" t="s">
        <v>14</v>
      </c>
      <c r="E5" t="s">
        <v>15</v>
      </c>
      <c r="H5" t="s">
        <v>2</v>
      </c>
      <c r="I5" t="s">
        <v>12</v>
      </c>
      <c r="J5" t="s">
        <v>13</v>
      </c>
      <c r="K5" t="s">
        <v>14</v>
      </c>
      <c r="L5" t="s">
        <v>15</v>
      </c>
      <c r="N5" t="s">
        <v>44</v>
      </c>
      <c r="O5">
        <v>1430</v>
      </c>
    </row>
    <row r="6" spans="1:15" x14ac:dyDescent="0.3">
      <c r="A6" t="s">
        <v>3</v>
      </c>
      <c r="B6" t="s">
        <v>16</v>
      </c>
      <c r="C6" t="s">
        <v>17</v>
      </c>
      <c r="H6" t="s">
        <v>3</v>
      </c>
      <c r="I6" t="s">
        <v>16</v>
      </c>
      <c r="J6" t="s">
        <v>17</v>
      </c>
      <c r="N6" t="s">
        <v>8</v>
      </c>
      <c r="O6">
        <v>0</v>
      </c>
    </row>
    <row r="7" spans="1:15" x14ac:dyDescent="0.3">
      <c r="A7" t="s">
        <v>4</v>
      </c>
      <c r="B7" t="s">
        <v>18</v>
      </c>
      <c r="C7" t="s">
        <v>19</v>
      </c>
      <c r="D7" t="s">
        <v>20</v>
      </c>
      <c r="E7" t="s">
        <v>21</v>
      </c>
      <c r="H7" t="s">
        <v>4</v>
      </c>
      <c r="I7" t="s">
        <v>18</v>
      </c>
      <c r="J7" t="s">
        <v>19</v>
      </c>
      <c r="K7" t="s">
        <v>20</v>
      </c>
      <c r="L7" t="s">
        <v>21</v>
      </c>
      <c r="N7" t="s">
        <v>45</v>
      </c>
      <c r="O7">
        <v>56</v>
      </c>
    </row>
    <row r="8" spans="1:15" x14ac:dyDescent="0.3">
      <c r="N8" t="s">
        <v>46</v>
      </c>
      <c r="O8">
        <v>98</v>
      </c>
    </row>
    <row r="9" spans="1:15" x14ac:dyDescent="0.3">
      <c r="A9" s="1" t="s">
        <v>24</v>
      </c>
      <c r="B9" s="2">
        <f>3*4*4*2*4</f>
        <v>384</v>
      </c>
      <c r="C9" s="2" t="s">
        <v>25</v>
      </c>
      <c r="N9" t="s">
        <v>47</v>
      </c>
      <c r="O9">
        <v>164</v>
      </c>
    </row>
    <row r="10" spans="1:15" x14ac:dyDescent="0.3">
      <c r="A10" s="1" t="s">
        <v>26</v>
      </c>
      <c r="B10" s="2">
        <f>(3*4*4*2*4*3*3*2)*12/3600</f>
        <v>23.04</v>
      </c>
      <c r="C10" s="2" t="s">
        <v>27</v>
      </c>
      <c r="N10" t="s">
        <v>12</v>
      </c>
      <c r="O10">
        <v>0</v>
      </c>
    </row>
    <row r="11" spans="1:15" x14ac:dyDescent="0.3">
      <c r="N11" t="s">
        <v>48</v>
      </c>
      <c r="O11">
        <v>100</v>
      </c>
    </row>
    <row r="12" spans="1:15" x14ac:dyDescent="0.3">
      <c r="A12" s="1" t="s">
        <v>28</v>
      </c>
      <c r="B12" s="3" t="s">
        <v>29</v>
      </c>
      <c r="N12" t="s">
        <v>49</v>
      </c>
      <c r="O12">
        <v>80</v>
      </c>
    </row>
    <row r="13" spans="1:15" x14ac:dyDescent="0.3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N13" t="s">
        <v>50</v>
      </c>
      <c r="O13">
        <v>60</v>
      </c>
    </row>
    <row r="14" spans="1:15" x14ac:dyDescent="0.3">
      <c r="B14" t="s">
        <v>5</v>
      </c>
      <c r="C14" t="s">
        <v>8</v>
      </c>
      <c r="D14" t="s">
        <v>12</v>
      </c>
      <c r="E14" t="s">
        <v>16</v>
      </c>
      <c r="F14" t="s">
        <v>18</v>
      </c>
      <c r="N14" t="s">
        <v>16</v>
      </c>
      <c r="O14">
        <v>115</v>
      </c>
    </row>
    <row r="15" spans="1:15" x14ac:dyDescent="0.3">
      <c r="B15" t="s">
        <v>6</v>
      </c>
      <c r="C15" t="s">
        <v>9</v>
      </c>
      <c r="D15" t="s">
        <v>13</v>
      </c>
      <c r="E15" t="s">
        <v>16</v>
      </c>
      <c r="F15" t="s">
        <v>19</v>
      </c>
      <c r="N15" t="s">
        <v>22</v>
      </c>
      <c r="O15">
        <v>0</v>
      </c>
    </row>
    <row r="16" spans="1:15" x14ac:dyDescent="0.3">
      <c r="B16" t="s">
        <v>7</v>
      </c>
      <c r="C16" t="s">
        <v>10</v>
      </c>
      <c r="D16" t="s">
        <v>14</v>
      </c>
      <c r="E16" t="s">
        <v>22</v>
      </c>
      <c r="F16" t="s">
        <v>20</v>
      </c>
      <c r="N16" t="s">
        <v>18</v>
      </c>
      <c r="O16">
        <v>0</v>
      </c>
    </row>
    <row r="17" spans="1:15" x14ac:dyDescent="0.3">
      <c r="B17" t="s">
        <v>7</v>
      </c>
      <c r="C17" t="s">
        <v>11</v>
      </c>
      <c r="D17" t="s">
        <v>15</v>
      </c>
      <c r="E17" t="s">
        <v>22</v>
      </c>
      <c r="F17" t="s">
        <v>21</v>
      </c>
      <c r="N17" t="s">
        <v>51</v>
      </c>
      <c r="O17">
        <v>45</v>
      </c>
    </row>
    <row r="18" spans="1:15" x14ac:dyDescent="0.3">
      <c r="N18" t="s">
        <v>52</v>
      </c>
      <c r="O18">
        <v>32</v>
      </c>
    </row>
    <row r="19" spans="1:15" x14ac:dyDescent="0.3">
      <c r="B19" s="1" t="s">
        <v>30</v>
      </c>
      <c r="N19" t="s">
        <v>53</v>
      </c>
      <c r="O19">
        <v>215</v>
      </c>
    </row>
    <row r="20" spans="1:15" x14ac:dyDescent="0.3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</row>
    <row r="21" spans="1:15" x14ac:dyDescent="0.3">
      <c r="B21" t="s">
        <v>5</v>
      </c>
      <c r="C21" t="s">
        <v>8</v>
      </c>
      <c r="D21" t="s">
        <v>12</v>
      </c>
      <c r="E21" t="s">
        <v>16</v>
      </c>
      <c r="F21" t="s">
        <v>18</v>
      </c>
    </row>
    <row r="22" spans="1:15" x14ac:dyDescent="0.3">
      <c r="B22" t="s">
        <v>6</v>
      </c>
      <c r="C22" t="s">
        <v>9</v>
      </c>
      <c r="D22" s="4" t="s">
        <v>31</v>
      </c>
      <c r="E22" t="s">
        <v>16</v>
      </c>
      <c r="F22" t="s">
        <v>19</v>
      </c>
    </row>
    <row r="23" spans="1:15" x14ac:dyDescent="0.3">
      <c r="B23" t="s">
        <v>7</v>
      </c>
      <c r="C23" t="s">
        <v>10</v>
      </c>
      <c r="D23" t="s">
        <v>14</v>
      </c>
      <c r="E23" t="s">
        <v>16</v>
      </c>
      <c r="F23" t="s">
        <v>20</v>
      </c>
    </row>
    <row r="24" spans="1:15" x14ac:dyDescent="0.3">
      <c r="B24" t="s">
        <v>7</v>
      </c>
      <c r="C24" t="s">
        <v>11</v>
      </c>
      <c r="D24" t="s">
        <v>15</v>
      </c>
      <c r="E24" t="s">
        <v>16</v>
      </c>
      <c r="F24" t="s">
        <v>21</v>
      </c>
    </row>
    <row r="26" spans="1:15" x14ac:dyDescent="0.3">
      <c r="E26" s="4" t="s">
        <v>32</v>
      </c>
    </row>
    <row r="29" spans="1:15" x14ac:dyDescent="0.3">
      <c r="A29" s="1" t="s">
        <v>33</v>
      </c>
    </row>
    <row r="30" spans="1:15" x14ac:dyDescent="0.3"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</row>
    <row r="31" spans="1:15" x14ac:dyDescent="0.3">
      <c r="A31">
        <v>1</v>
      </c>
      <c r="B31" t="s">
        <v>5</v>
      </c>
      <c r="C31" t="s">
        <v>8</v>
      </c>
      <c r="D31" t="s">
        <v>12</v>
      </c>
      <c r="E31" t="s">
        <v>16</v>
      </c>
      <c r="F31" t="s">
        <v>18</v>
      </c>
      <c r="G31">
        <f t="shared" ref="G31:G43" ca="1" si="0">RAND()</f>
        <v>0.87089434128441878</v>
      </c>
    </row>
    <row r="32" spans="1:15" x14ac:dyDescent="0.3">
      <c r="A32">
        <v>2</v>
      </c>
      <c r="B32" s="5" t="s">
        <v>43</v>
      </c>
      <c r="C32" t="s">
        <v>8</v>
      </c>
      <c r="D32" t="s">
        <v>12</v>
      </c>
      <c r="E32" t="s">
        <v>16</v>
      </c>
      <c r="F32" t="s">
        <v>18</v>
      </c>
      <c r="G32">
        <f t="shared" ca="1" si="0"/>
        <v>0.44620835064503128</v>
      </c>
    </row>
    <row r="33" spans="1:11" x14ac:dyDescent="0.3">
      <c r="A33">
        <v>3</v>
      </c>
      <c r="B33" s="5" t="s">
        <v>44</v>
      </c>
      <c r="C33" t="s">
        <v>8</v>
      </c>
      <c r="D33" t="s">
        <v>12</v>
      </c>
      <c r="E33" t="s">
        <v>16</v>
      </c>
      <c r="F33" t="s">
        <v>18</v>
      </c>
      <c r="G33">
        <f t="shared" ca="1" si="0"/>
        <v>0.73666380552159372</v>
      </c>
    </row>
    <row r="34" spans="1:11" x14ac:dyDescent="0.3">
      <c r="A34">
        <v>4</v>
      </c>
      <c r="B34" t="s">
        <v>5</v>
      </c>
      <c r="C34" s="5" t="s">
        <v>45</v>
      </c>
      <c r="D34" t="s">
        <v>12</v>
      </c>
      <c r="E34" t="s">
        <v>16</v>
      </c>
      <c r="F34" t="s">
        <v>18</v>
      </c>
      <c r="G34">
        <f t="shared" ca="1" si="0"/>
        <v>7.2933911314998157E-2</v>
      </c>
    </row>
    <row r="35" spans="1:11" x14ac:dyDescent="0.3">
      <c r="A35">
        <v>5</v>
      </c>
      <c r="B35" t="s">
        <v>5</v>
      </c>
      <c r="C35" s="5" t="s">
        <v>46</v>
      </c>
      <c r="D35" t="s">
        <v>12</v>
      </c>
      <c r="E35" t="s">
        <v>16</v>
      </c>
      <c r="F35" t="s">
        <v>18</v>
      </c>
      <c r="G35">
        <f t="shared" ca="1" si="0"/>
        <v>0.14232223276896072</v>
      </c>
    </row>
    <row r="36" spans="1:11" x14ac:dyDescent="0.3">
      <c r="A36">
        <v>6</v>
      </c>
      <c r="B36" t="s">
        <v>5</v>
      </c>
      <c r="C36" s="5" t="s">
        <v>47</v>
      </c>
      <c r="D36" t="s">
        <v>12</v>
      </c>
      <c r="E36" t="s">
        <v>16</v>
      </c>
      <c r="F36" t="s">
        <v>18</v>
      </c>
      <c r="G36">
        <f t="shared" ca="1" si="0"/>
        <v>0.87116364158897897</v>
      </c>
    </row>
    <row r="37" spans="1:11" x14ac:dyDescent="0.3">
      <c r="A37">
        <v>7</v>
      </c>
      <c r="B37" t="s">
        <v>5</v>
      </c>
      <c r="C37" t="s">
        <v>8</v>
      </c>
      <c r="D37" s="5" t="s">
        <v>48</v>
      </c>
      <c r="E37" t="s">
        <v>16</v>
      </c>
      <c r="F37" t="s">
        <v>18</v>
      </c>
      <c r="G37">
        <f t="shared" ca="1" si="0"/>
        <v>0.8368112164984205</v>
      </c>
    </row>
    <row r="38" spans="1:11" x14ac:dyDescent="0.3">
      <c r="A38">
        <v>8</v>
      </c>
      <c r="B38" t="s">
        <v>5</v>
      </c>
      <c r="C38" t="s">
        <v>8</v>
      </c>
      <c r="D38" s="5" t="s">
        <v>49</v>
      </c>
      <c r="E38" t="s">
        <v>16</v>
      </c>
      <c r="F38" t="s">
        <v>18</v>
      </c>
      <c r="G38">
        <f t="shared" ca="1" si="0"/>
        <v>0.55038500884908181</v>
      </c>
    </row>
    <row r="39" spans="1:11" x14ac:dyDescent="0.3">
      <c r="A39">
        <v>9</v>
      </c>
      <c r="B39" t="s">
        <v>5</v>
      </c>
      <c r="C39" t="s">
        <v>8</v>
      </c>
      <c r="D39" s="5" t="s">
        <v>50</v>
      </c>
      <c r="E39" t="s">
        <v>16</v>
      </c>
      <c r="F39" t="s">
        <v>18</v>
      </c>
      <c r="G39">
        <f t="shared" ca="1" si="0"/>
        <v>0.45274812164911815</v>
      </c>
    </row>
    <row r="40" spans="1:11" x14ac:dyDescent="0.3">
      <c r="A40">
        <v>10</v>
      </c>
      <c r="B40" t="s">
        <v>5</v>
      </c>
      <c r="C40" t="s">
        <v>8</v>
      </c>
      <c r="D40" t="s">
        <v>12</v>
      </c>
      <c r="E40" s="5" t="s">
        <v>22</v>
      </c>
      <c r="F40" t="s">
        <v>18</v>
      </c>
      <c r="G40">
        <f t="shared" ca="1" si="0"/>
        <v>0.10131077096203456</v>
      </c>
    </row>
    <row r="41" spans="1:11" x14ac:dyDescent="0.3">
      <c r="A41">
        <v>11</v>
      </c>
      <c r="B41" t="s">
        <v>5</v>
      </c>
      <c r="C41" t="s">
        <v>8</v>
      </c>
      <c r="D41" t="s">
        <v>12</v>
      </c>
      <c r="E41" t="s">
        <v>16</v>
      </c>
      <c r="F41" s="5" t="s">
        <v>51</v>
      </c>
      <c r="G41">
        <f t="shared" ca="1" si="0"/>
        <v>0.88977208074675407</v>
      </c>
    </row>
    <row r="42" spans="1:11" x14ac:dyDescent="0.3">
      <c r="A42">
        <v>12</v>
      </c>
      <c r="B42" t="s">
        <v>5</v>
      </c>
      <c r="C42" t="s">
        <v>8</v>
      </c>
      <c r="D42" t="s">
        <v>12</v>
      </c>
      <c r="E42" t="s">
        <v>16</v>
      </c>
      <c r="F42" s="5" t="s">
        <v>52</v>
      </c>
      <c r="G42">
        <f t="shared" ca="1" si="0"/>
        <v>0.51838934058893793</v>
      </c>
    </row>
    <row r="43" spans="1:11" x14ac:dyDescent="0.3">
      <c r="A43">
        <v>13</v>
      </c>
      <c r="B43" t="s">
        <v>5</v>
      </c>
      <c r="C43" t="s">
        <v>8</v>
      </c>
      <c r="D43" t="s">
        <v>12</v>
      </c>
      <c r="E43" t="s">
        <v>16</v>
      </c>
      <c r="F43" s="5" t="s">
        <v>53</v>
      </c>
      <c r="G43">
        <f t="shared" ca="1" si="0"/>
        <v>0.59526228702023753</v>
      </c>
    </row>
    <row r="46" spans="1:11" x14ac:dyDescent="0.3">
      <c r="A46" s="1" t="s">
        <v>58</v>
      </c>
      <c r="B46" s="1" t="s">
        <v>54</v>
      </c>
      <c r="K46" s="1" t="s">
        <v>57</v>
      </c>
    </row>
    <row r="47" spans="1:11" x14ac:dyDescent="0.3"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55</v>
      </c>
      <c r="K47" s="1" t="s">
        <v>42</v>
      </c>
    </row>
    <row r="48" spans="1:11" x14ac:dyDescent="0.3">
      <c r="B48" t="s">
        <v>5</v>
      </c>
      <c r="C48" t="s">
        <v>46</v>
      </c>
      <c r="D48" t="s">
        <v>48</v>
      </c>
      <c r="E48" t="s">
        <v>16</v>
      </c>
      <c r="F48" t="s">
        <v>18</v>
      </c>
      <c r="G48">
        <f>VLOOKUP(B48,$N$3:$O$19,2,FALSE)+VLOOKUP(C48,$N$3:$O$19,2,FALSE)+VLOOKUP(D48,$N$3:$O$19,2,FALSE)+VLOOKUP(E48,$N$3:$O$19,2,FALSE)+VLOOKUP(F48,$N$3:$O$19,2,FALSE)</f>
        <v>1213</v>
      </c>
    </row>
    <row r="49" spans="2:16" x14ac:dyDescent="0.3">
      <c r="B49" t="s">
        <v>43</v>
      </c>
      <c r="C49" t="s">
        <v>45</v>
      </c>
      <c r="D49" t="s">
        <v>48</v>
      </c>
      <c r="E49" t="s">
        <v>22</v>
      </c>
      <c r="F49" t="s">
        <v>52</v>
      </c>
      <c r="G49">
        <f t="shared" ref="G49:G67" si="1">VLOOKUP(B49,$N$3:$O$19,2,FALSE)+VLOOKUP(C49,$N$3:$O$19,2,FALSE)+VLOOKUP(D49,$N$3:$O$19,2,FALSE)+VLOOKUP(E49,$N$3:$O$19,2,FALSE)+VLOOKUP(F49,$N$3:$O$19,2,FALSE)</f>
        <v>1238</v>
      </c>
    </row>
    <row r="50" spans="2:16" x14ac:dyDescent="0.3">
      <c r="B50" t="s">
        <v>44</v>
      </c>
      <c r="C50" t="s">
        <v>8</v>
      </c>
      <c r="D50" t="s">
        <v>12</v>
      </c>
      <c r="E50" t="s">
        <v>16</v>
      </c>
      <c r="F50" t="s">
        <v>52</v>
      </c>
      <c r="G50">
        <f t="shared" si="1"/>
        <v>1577</v>
      </c>
    </row>
    <row r="51" spans="2:16" x14ac:dyDescent="0.3">
      <c r="B51" t="s">
        <v>44</v>
      </c>
      <c r="C51" t="s">
        <v>45</v>
      </c>
      <c r="D51" t="s">
        <v>50</v>
      </c>
      <c r="E51" t="s">
        <v>16</v>
      </c>
      <c r="F51" t="s">
        <v>53</v>
      </c>
      <c r="G51">
        <f t="shared" si="1"/>
        <v>1876</v>
      </c>
    </row>
    <row r="52" spans="2:16" x14ac:dyDescent="0.3">
      <c r="B52" t="s">
        <v>44</v>
      </c>
      <c r="C52" t="s">
        <v>47</v>
      </c>
      <c r="D52" t="s">
        <v>49</v>
      </c>
      <c r="E52" t="s">
        <v>22</v>
      </c>
      <c r="F52" t="s">
        <v>51</v>
      </c>
      <c r="G52">
        <f t="shared" si="1"/>
        <v>1719</v>
      </c>
    </row>
    <row r="53" spans="2:16" x14ac:dyDescent="0.3">
      <c r="B53" t="s">
        <v>5</v>
      </c>
      <c r="C53" t="s">
        <v>8</v>
      </c>
      <c r="D53" t="s">
        <v>50</v>
      </c>
      <c r="E53" t="s">
        <v>22</v>
      </c>
      <c r="F53" t="s">
        <v>18</v>
      </c>
      <c r="G53">
        <f t="shared" si="1"/>
        <v>960</v>
      </c>
    </row>
    <row r="54" spans="2:16" x14ac:dyDescent="0.3">
      <c r="B54" t="s">
        <v>43</v>
      </c>
      <c r="C54" t="s">
        <v>47</v>
      </c>
      <c r="D54" t="s">
        <v>50</v>
      </c>
      <c r="E54" t="s">
        <v>16</v>
      </c>
      <c r="F54" t="s">
        <v>52</v>
      </c>
      <c r="G54">
        <f t="shared" si="1"/>
        <v>1421</v>
      </c>
      <c r="K54" s="1" t="s">
        <v>59</v>
      </c>
    </row>
    <row r="55" spans="2:16" x14ac:dyDescent="0.3">
      <c r="B55" t="s">
        <v>43</v>
      </c>
      <c r="C55" t="s">
        <v>46</v>
      </c>
      <c r="D55" t="s">
        <v>49</v>
      </c>
      <c r="E55" t="s">
        <v>22</v>
      </c>
      <c r="F55" t="s">
        <v>53</v>
      </c>
      <c r="G55">
        <f t="shared" si="1"/>
        <v>1443</v>
      </c>
      <c r="K55" s="1" t="s">
        <v>0</v>
      </c>
      <c r="L55" s="1" t="s">
        <v>1</v>
      </c>
      <c r="M55" s="1" t="s">
        <v>2</v>
      </c>
      <c r="N55" s="1" t="s">
        <v>3</v>
      </c>
      <c r="O55" s="1" t="s">
        <v>4</v>
      </c>
      <c r="P55" s="1" t="s">
        <v>55</v>
      </c>
    </row>
    <row r="56" spans="2:16" x14ac:dyDescent="0.3">
      <c r="B56" t="s">
        <v>43</v>
      </c>
      <c r="C56" t="s">
        <v>45</v>
      </c>
      <c r="D56" t="s">
        <v>12</v>
      </c>
      <c r="E56" t="s">
        <v>22</v>
      </c>
      <c r="F56" t="s">
        <v>18</v>
      </c>
      <c r="G56">
        <f t="shared" si="1"/>
        <v>1106</v>
      </c>
      <c r="K56" t="s">
        <v>65</v>
      </c>
      <c r="L56" t="s">
        <v>46</v>
      </c>
      <c r="M56" t="s">
        <v>65</v>
      </c>
      <c r="N56" t="s">
        <v>22</v>
      </c>
      <c r="O56" t="s">
        <v>65</v>
      </c>
    </row>
    <row r="57" spans="2:16" x14ac:dyDescent="0.3">
      <c r="B57" t="s">
        <v>5</v>
      </c>
      <c r="C57" t="s">
        <v>8</v>
      </c>
      <c r="D57" t="s">
        <v>49</v>
      </c>
      <c r="E57" t="s">
        <v>16</v>
      </c>
      <c r="F57" t="s">
        <v>51</v>
      </c>
      <c r="G57">
        <f t="shared" si="1"/>
        <v>1140</v>
      </c>
      <c r="K57" t="s">
        <v>43</v>
      </c>
      <c r="L57" t="s">
        <v>65</v>
      </c>
      <c r="M57" t="s">
        <v>65</v>
      </c>
      <c r="N57" t="s">
        <v>65</v>
      </c>
      <c r="O57" t="s">
        <v>53</v>
      </c>
    </row>
    <row r="58" spans="2:16" x14ac:dyDescent="0.3">
      <c r="B58" t="s">
        <v>44</v>
      </c>
      <c r="C58" t="s">
        <v>46</v>
      </c>
      <c r="D58" t="s">
        <v>48</v>
      </c>
      <c r="E58" t="s">
        <v>16</v>
      </c>
      <c r="F58" t="s">
        <v>51</v>
      </c>
      <c r="G58">
        <f t="shared" si="1"/>
        <v>1788</v>
      </c>
      <c r="K58" t="s">
        <v>65</v>
      </c>
      <c r="L58" t="s">
        <v>47</v>
      </c>
      <c r="M58" t="s">
        <v>48</v>
      </c>
      <c r="N58" t="s">
        <v>22</v>
      </c>
      <c r="O58" t="s">
        <v>65</v>
      </c>
    </row>
    <row r="59" spans="2:16" x14ac:dyDescent="0.3">
      <c r="B59" t="s">
        <v>5</v>
      </c>
      <c r="C59" t="s">
        <v>46</v>
      </c>
      <c r="D59" t="s">
        <v>12</v>
      </c>
      <c r="E59" t="s">
        <v>22</v>
      </c>
      <c r="F59" t="s">
        <v>52</v>
      </c>
      <c r="G59">
        <f t="shared" si="1"/>
        <v>1030</v>
      </c>
    </row>
    <row r="60" spans="2:16" x14ac:dyDescent="0.3">
      <c r="B60" t="s">
        <v>5</v>
      </c>
      <c r="C60" t="s">
        <v>47</v>
      </c>
      <c r="D60" t="s">
        <v>12</v>
      </c>
      <c r="E60" t="s">
        <v>22</v>
      </c>
      <c r="F60" t="s">
        <v>51</v>
      </c>
      <c r="G60">
        <f t="shared" si="1"/>
        <v>1109</v>
      </c>
    </row>
    <row r="61" spans="2:16" x14ac:dyDescent="0.3">
      <c r="B61" t="s">
        <v>43</v>
      </c>
      <c r="C61" t="s">
        <v>8</v>
      </c>
      <c r="D61" t="s">
        <v>12</v>
      </c>
      <c r="E61" t="s">
        <v>16</v>
      </c>
      <c r="F61" t="s">
        <v>53</v>
      </c>
      <c r="G61">
        <f t="shared" si="1"/>
        <v>1380</v>
      </c>
    </row>
    <row r="62" spans="2:16" x14ac:dyDescent="0.3">
      <c r="B62" t="s">
        <v>43</v>
      </c>
      <c r="C62" t="s">
        <v>46</v>
      </c>
      <c r="D62" t="s">
        <v>50</v>
      </c>
      <c r="E62" t="s">
        <v>16</v>
      </c>
      <c r="F62" t="s">
        <v>51</v>
      </c>
      <c r="G62">
        <f t="shared" si="1"/>
        <v>1368</v>
      </c>
    </row>
    <row r="63" spans="2:16" x14ac:dyDescent="0.3">
      <c r="B63" t="s">
        <v>5</v>
      </c>
      <c r="C63" t="s">
        <v>47</v>
      </c>
      <c r="D63" t="s">
        <v>48</v>
      </c>
      <c r="E63" t="s">
        <v>16</v>
      </c>
      <c r="F63" t="s">
        <v>53</v>
      </c>
      <c r="G63">
        <f t="shared" si="1"/>
        <v>1494</v>
      </c>
      <c r="K63" s="6" t="s">
        <v>60</v>
      </c>
    </row>
    <row r="64" spans="2:16" x14ac:dyDescent="0.3">
      <c r="B64" t="s">
        <v>5</v>
      </c>
      <c r="C64" t="s">
        <v>45</v>
      </c>
      <c r="D64" t="s">
        <v>49</v>
      </c>
      <c r="E64" t="s">
        <v>16</v>
      </c>
      <c r="F64" t="s">
        <v>51</v>
      </c>
      <c r="G64">
        <f t="shared" si="1"/>
        <v>1196</v>
      </c>
      <c r="K64" s="6" t="s">
        <v>61</v>
      </c>
    </row>
    <row r="65" spans="2:11" x14ac:dyDescent="0.3">
      <c r="B65" t="s">
        <v>44</v>
      </c>
      <c r="C65" t="s">
        <v>47</v>
      </c>
      <c r="D65" t="s">
        <v>49</v>
      </c>
      <c r="E65" t="s">
        <v>16</v>
      </c>
      <c r="F65" t="s">
        <v>18</v>
      </c>
      <c r="G65">
        <f t="shared" si="1"/>
        <v>1789</v>
      </c>
      <c r="K65" s="6" t="s">
        <v>62</v>
      </c>
    </row>
    <row r="66" spans="2:11" x14ac:dyDescent="0.3">
      <c r="B66" t="s">
        <v>43</v>
      </c>
      <c r="C66" t="s">
        <v>8</v>
      </c>
      <c r="D66" t="s">
        <v>49</v>
      </c>
      <c r="E66" t="s">
        <v>22</v>
      </c>
      <c r="F66" t="s">
        <v>52</v>
      </c>
      <c r="G66">
        <f t="shared" si="1"/>
        <v>1162</v>
      </c>
      <c r="K66" s="6" t="s">
        <v>63</v>
      </c>
    </row>
    <row r="67" spans="2:11" x14ac:dyDescent="0.3">
      <c r="B67" t="s">
        <v>43</v>
      </c>
      <c r="C67" t="s">
        <v>8</v>
      </c>
      <c r="D67" t="s">
        <v>48</v>
      </c>
      <c r="E67" t="s">
        <v>22</v>
      </c>
      <c r="F67" t="s">
        <v>52</v>
      </c>
      <c r="G67">
        <f t="shared" si="1"/>
        <v>1182</v>
      </c>
      <c r="K67" s="6" t="s">
        <v>64</v>
      </c>
    </row>
    <row r="70" spans="2:11" x14ac:dyDescent="0.3">
      <c r="B70" s="1" t="s">
        <v>56</v>
      </c>
    </row>
    <row r="71" spans="2:11" x14ac:dyDescent="0.3"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55</v>
      </c>
    </row>
    <row r="72" spans="2:11" x14ac:dyDescent="0.3">
      <c r="B72" t="s">
        <v>5</v>
      </c>
      <c r="C72" t="s">
        <v>47</v>
      </c>
      <c r="D72" t="s">
        <v>48</v>
      </c>
      <c r="E72" t="s">
        <v>22</v>
      </c>
      <c r="F72" t="s">
        <v>52</v>
      </c>
      <c r="G72">
        <f t="shared" ref="G72:G135" si="2">VLOOKUP(B72,$N$3:$O$19,2,FALSE)+VLOOKUP(C72,$N$3:$O$19,2,FALSE)+VLOOKUP(D72,$N$3:$O$19,2,FALSE)+VLOOKUP(E72,$N$3:$O$19,2,FALSE)+VLOOKUP(F72,$N$3:$O$19,2,FALSE)</f>
        <v>1196</v>
      </c>
    </row>
    <row r="73" spans="2:11" x14ac:dyDescent="0.3">
      <c r="B73" t="s">
        <v>44</v>
      </c>
      <c r="C73" t="s">
        <v>46</v>
      </c>
      <c r="D73" t="s">
        <v>12</v>
      </c>
      <c r="E73" t="s">
        <v>16</v>
      </c>
      <c r="F73" t="s">
        <v>53</v>
      </c>
      <c r="G73">
        <f t="shared" si="2"/>
        <v>1858</v>
      </c>
    </row>
    <row r="74" spans="2:11" x14ac:dyDescent="0.3">
      <c r="B74" t="s">
        <v>43</v>
      </c>
      <c r="C74" t="s">
        <v>46</v>
      </c>
      <c r="D74" t="s">
        <v>50</v>
      </c>
      <c r="E74" t="s">
        <v>22</v>
      </c>
      <c r="F74" t="s">
        <v>18</v>
      </c>
      <c r="G74">
        <f t="shared" si="2"/>
        <v>1208</v>
      </c>
    </row>
    <row r="75" spans="2:11" x14ac:dyDescent="0.3">
      <c r="B75" t="s">
        <v>5</v>
      </c>
      <c r="C75" t="s">
        <v>8</v>
      </c>
      <c r="D75" t="s">
        <v>12</v>
      </c>
      <c r="E75" t="s">
        <v>16</v>
      </c>
      <c r="F75" t="s">
        <v>18</v>
      </c>
      <c r="G75">
        <f t="shared" si="2"/>
        <v>1015</v>
      </c>
    </row>
    <row r="76" spans="2:11" x14ac:dyDescent="0.3">
      <c r="B76" t="s">
        <v>44</v>
      </c>
      <c r="C76" t="s">
        <v>47</v>
      </c>
      <c r="D76" t="s">
        <v>49</v>
      </c>
      <c r="E76" t="s">
        <v>16</v>
      </c>
      <c r="F76" t="s">
        <v>52</v>
      </c>
      <c r="G76">
        <f t="shared" si="2"/>
        <v>1821</v>
      </c>
    </row>
    <row r="77" spans="2:11" x14ac:dyDescent="0.3">
      <c r="B77" t="s">
        <v>44</v>
      </c>
      <c r="C77" t="s">
        <v>47</v>
      </c>
      <c r="D77" t="s">
        <v>12</v>
      </c>
      <c r="E77" t="s">
        <v>22</v>
      </c>
      <c r="F77" t="s">
        <v>18</v>
      </c>
      <c r="G77">
        <f t="shared" si="2"/>
        <v>1594</v>
      </c>
    </row>
    <row r="78" spans="2:11" x14ac:dyDescent="0.3">
      <c r="B78" t="s">
        <v>43</v>
      </c>
      <c r="C78" t="s">
        <v>8</v>
      </c>
      <c r="D78" t="s">
        <v>12</v>
      </c>
      <c r="E78" t="s">
        <v>22</v>
      </c>
      <c r="F78" t="s">
        <v>51</v>
      </c>
      <c r="G78">
        <f t="shared" si="2"/>
        <v>1095</v>
      </c>
    </row>
    <row r="79" spans="2:11" x14ac:dyDescent="0.3">
      <c r="B79" t="s">
        <v>43</v>
      </c>
      <c r="C79" t="s">
        <v>45</v>
      </c>
      <c r="D79" t="s">
        <v>50</v>
      </c>
      <c r="E79" t="s">
        <v>16</v>
      </c>
      <c r="F79" t="s">
        <v>52</v>
      </c>
      <c r="G79">
        <f t="shared" si="2"/>
        <v>1313</v>
      </c>
    </row>
    <row r="80" spans="2:11" x14ac:dyDescent="0.3">
      <c r="B80" t="s">
        <v>44</v>
      </c>
      <c r="C80" t="s">
        <v>46</v>
      </c>
      <c r="D80" t="s">
        <v>49</v>
      </c>
      <c r="E80" t="s">
        <v>22</v>
      </c>
      <c r="F80" t="s">
        <v>51</v>
      </c>
      <c r="G80">
        <f t="shared" si="2"/>
        <v>1653</v>
      </c>
    </row>
    <row r="81" spans="2:7" x14ac:dyDescent="0.3">
      <c r="B81" t="s">
        <v>5</v>
      </c>
      <c r="C81" t="s">
        <v>45</v>
      </c>
      <c r="D81" t="s">
        <v>50</v>
      </c>
      <c r="E81" t="s">
        <v>22</v>
      </c>
      <c r="F81" t="s">
        <v>53</v>
      </c>
      <c r="G81">
        <f t="shared" si="2"/>
        <v>1231</v>
      </c>
    </row>
    <row r="82" spans="2:7" x14ac:dyDescent="0.3">
      <c r="B82" t="s">
        <v>5</v>
      </c>
      <c r="C82" t="s">
        <v>45</v>
      </c>
      <c r="D82" t="s">
        <v>12</v>
      </c>
      <c r="E82" t="s">
        <v>16</v>
      </c>
      <c r="F82" t="s">
        <v>51</v>
      </c>
      <c r="G82">
        <f t="shared" si="2"/>
        <v>1116</v>
      </c>
    </row>
    <row r="83" spans="2:7" x14ac:dyDescent="0.3">
      <c r="B83" t="s">
        <v>43</v>
      </c>
      <c r="C83" t="s">
        <v>8</v>
      </c>
      <c r="D83" t="s">
        <v>49</v>
      </c>
      <c r="E83" t="s">
        <v>16</v>
      </c>
      <c r="F83" t="s">
        <v>51</v>
      </c>
      <c r="G83">
        <f t="shared" si="2"/>
        <v>1290</v>
      </c>
    </row>
    <row r="84" spans="2:7" x14ac:dyDescent="0.3">
      <c r="B84" t="s">
        <v>43</v>
      </c>
      <c r="C84" t="s">
        <v>47</v>
      </c>
      <c r="D84" t="s">
        <v>12</v>
      </c>
      <c r="E84" t="s">
        <v>16</v>
      </c>
      <c r="F84" t="s">
        <v>51</v>
      </c>
      <c r="G84">
        <f t="shared" si="2"/>
        <v>1374</v>
      </c>
    </row>
    <row r="85" spans="2:7" x14ac:dyDescent="0.3">
      <c r="B85" t="s">
        <v>44</v>
      </c>
      <c r="C85" t="s">
        <v>8</v>
      </c>
      <c r="D85" t="s">
        <v>50</v>
      </c>
      <c r="E85" t="s">
        <v>16</v>
      </c>
      <c r="F85" t="s">
        <v>51</v>
      </c>
      <c r="G85">
        <f t="shared" si="2"/>
        <v>1650</v>
      </c>
    </row>
    <row r="86" spans="2:7" x14ac:dyDescent="0.3">
      <c r="B86" t="s">
        <v>44</v>
      </c>
      <c r="C86" t="s">
        <v>46</v>
      </c>
      <c r="D86" t="s">
        <v>50</v>
      </c>
      <c r="E86" t="s">
        <v>22</v>
      </c>
      <c r="F86" t="s">
        <v>52</v>
      </c>
      <c r="G86">
        <f t="shared" si="2"/>
        <v>1620</v>
      </c>
    </row>
    <row r="87" spans="2:7" x14ac:dyDescent="0.3">
      <c r="B87" t="s">
        <v>5</v>
      </c>
      <c r="C87" t="s">
        <v>46</v>
      </c>
      <c r="D87" t="s">
        <v>49</v>
      </c>
      <c r="E87" t="s">
        <v>16</v>
      </c>
      <c r="F87" t="s">
        <v>52</v>
      </c>
      <c r="G87">
        <f t="shared" si="2"/>
        <v>1225</v>
      </c>
    </row>
    <row r="88" spans="2:7" x14ac:dyDescent="0.3">
      <c r="B88" t="s">
        <v>43</v>
      </c>
      <c r="C88" t="s">
        <v>47</v>
      </c>
      <c r="D88" t="s">
        <v>12</v>
      </c>
      <c r="E88" t="s">
        <v>22</v>
      </c>
      <c r="F88" t="s">
        <v>52</v>
      </c>
      <c r="G88">
        <f t="shared" si="2"/>
        <v>1246</v>
      </c>
    </row>
    <row r="89" spans="2:7" x14ac:dyDescent="0.3">
      <c r="B89" t="s">
        <v>5</v>
      </c>
      <c r="C89" t="s">
        <v>8</v>
      </c>
      <c r="D89" t="s">
        <v>49</v>
      </c>
      <c r="E89" t="s">
        <v>22</v>
      </c>
      <c r="F89" t="s">
        <v>52</v>
      </c>
      <c r="G89">
        <f t="shared" si="2"/>
        <v>1012</v>
      </c>
    </row>
    <row r="90" spans="2:7" x14ac:dyDescent="0.3">
      <c r="B90" t="s">
        <v>44</v>
      </c>
      <c r="C90" t="s">
        <v>45</v>
      </c>
      <c r="D90" t="s">
        <v>48</v>
      </c>
      <c r="E90" t="s">
        <v>22</v>
      </c>
      <c r="F90" t="s">
        <v>52</v>
      </c>
      <c r="G90">
        <f t="shared" si="2"/>
        <v>1618</v>
      </c>
    </row>
    <row r="91" spans="2:7" x14ac:dyDescent="0.3">
      <c r="B91" t="s">
        <v>43</v>
      </c>
      <c r="C91" t="s">
        <v>45</v>
      </c>
      <c r="D91" t="s">
        <v>49</v>
      </c>
      <c r="E91" t="s">
        <v>16</v>
      </c>
      <c r="F91" t="s">
        <v>53</v>
      </c>
      <c r="G91">
        <f t="shared" si="2"/>
        <v>1516</v>
      </c>
    </row>
    <row r="92" spans="2:7" x14ac:dyDescent="0.3">
      <c r="B92" t="s">
        <v>43</v>
      </c>
      <c r="C92" t="s">
        <v>46</v>
      </c>
      <c r="D92" t="s">
        <v>48</v>
      </c>
      <c r="E92" t="s">
        <v>16</v>
      </c>
      <c r="F92" t="s">
        <v>18</v>
      </c>
      <c r="G92">
        <f t="shared" si="2"/>
        <v>1363</v>
      </c>
    </row>
    <row r="93" spans="2:7" x14ac:dyDescent="0.3">
      <c r="B93" t="s">
        <v>43</v>
      </c>
      <c r="C93" t="s">
        <v>45</v>
      </c>
      <c r="D93" t="s">
        <v>12</v>
      </c>
      <c r="E93" t="s">
        <v>22</v>
      </c>
      <c r="F93" t="s">
        <v>18</v>
      </c>
      <c r="G93">
        <f t="shared" si="2"/>
        <v>1106</v>
      </c>
    </row>
    <row r="94" spans="2:7" x14ac:dyDescent="0.3">
      <c r="B94" t="s">
        <v>44</v>
      </c>
      <c r="C94" t="s">
        <v>45</v>
      </c>
      <c r="D94" t="s">
        <v>12</v>
      </c>
      <c r="E94" t="s">
        <v>16</v>
      </c>
      <c r="F94" t="s">
        <v>52</v>
      </c>
      <c r="G94">
        <f t="shared" si="2"/>
        <v>1633</v>
      </c>
    </row>
    <row r="95" spans="2:7" x14ac:dyDescent="0.3">
      <c r="B95" t="s">
        <v>5</v>
      </c>
      <c r="C95" t="s">
        <v>45</v>
      </c>
      <c r="D95" t="s">
        <v>48</v>
      </c>
      <c r="E95" t="s">
        <v>16</v>
      </c>
      <c r="F95" t="s">
        <v>53</v>
      </c>
      <c r="G95">
        <f t="shared" si="2"/>
        <v>1386</v>
      </c>
    </row>
    <row r="96" spans="2:7" x14ac:dyDescent="0.3">
      <c r="B96" t="s">
        <v>5</v>
      </c>
      <c r="C96" t="s">
        <v>46</v>
      </c>
      <c r="D96" t="s">
        <v>12</v>
      </c>
      <c r="E96" t="s">
        <v>22</v>
      </c>
      <c r="F96" t="s">
        <v>52</v>
      </c>
      <c r="G96">
        <f t="shared" si="2"/>
        <v>1030</v>
      </c>
    </row>
    <row r="97" spans="2:7" x14ac:dyDescent="0.3">
      <c r="B97" t="s">
        <v>44</v>
      </c>
      <c r="C97" t="s">
        <v>8</v>
      </c>
      <c r="D97" t="s">
        <v>48</v>
      </c>
      <c r="E97" t="s">
        <v>22</v>
      </c>
      <c r="F97" t="s">
        <v>18</v>
      </c>
      <c r="G97">
        <f t="shared" si="2"/>
        <v>1530</v>
      </c>
    </row>
    <row r="98" spans="2:7" x14ac:dyDescent="0.3">
      <c r="B98" t="s">
        <v>43</v>
      </c>
      <c r="C98" t="s">
        <v>47</v>
      </c>
      <c r="D98" t="s">
        <v>49</v>
      </c>
      <c r="E98" t="s">
        <v>22</v>
      </c>
      <c r="F98" t="s">
        <v>53</v>
      </c>
      <c r="G98">
        <f t="shared" si="2"/>
        <v>1509</v>
      </c>
    </row>
    <row r="99" spans="2:7" x14ac:dyDescent="0.3">
      <c r="B99" t="s">
        <v>44</v>
      </c>
      <c r="C99" t="s">
        <v>45</v>
      </c>
      <c r="D99" t="s">
        <v>49</v>
      </c>
      <c r="E99" t="s">
        <v>16</v>
      </c>
      <c r="F99" t="s">
        <v>18</v>
      </c>
      <c r="G99">
        <f t="shared" si="2"/>
        <v>1681</v>
      </c>
    </row>
    <row r="100" spans="2:7" x14ac:dyDescent="0.3">
      <c r="B100" t="s">
        <v>44</v>
      </c>
      <c r="C100" t="s">
        <v>46</v>
      </c>
      <c r="D100" t="s">
        <v>49</v>
      </c>
      <c r="E100" t="s">
        <v>22</v>
      </c>
      <c r="F100" t="s">
        <v>53</v>
      </c>
      <c r="G100">
        <f t="shared" si="2"/>
        <v>1823</v>
      </c>
    </row>
    <row r="101" spans="2:7" x14ac:dyDescent="0.3">
      <c r="B101" t="s">
        <v>5</v>
      </c>
      <c r="C101" t="s">
        <v>8</v>
      </c>
      <c r="D101" t="s">
        <v>49</v>
      </c>
      <c r="E101" t="s">
        <v>22</v>
      </c>
      <c r="F101" t="s">
        <v>53</v>
      </c>
      <c r="G101">
        <f t="shared" si="2"/>
        <v>1195</v>
      </c>
    </row>
    <row r="102" spans="2:7" x14ac:dyDescent="0.3">
      <c r="B102" t="s">
        <v>5</v>
      </c>
      <c r="C102" t="s">
        <v>47</v>
      </c>
      <c r="D102" t="s">
        <v>50</v>
      </c>
      <c r="E102" t="s">
        <v>16</v>
      </c>
      <c r="F102" t="s">
        <v>52</v>
      </c>
      <c r="G102">
        <f t="shared" si="2"/>
        <v>1271</v>
      </c>
    </row>
    <row r="103" spans="2:7" x14ac:dyDescent="0.3">
      <c r="B103" t="s">
        <v>5</v>
      </c>
      <c r="C103" t="s">
        <v>47</v>
      </c>
      <c r="D103" t="s">
        <v>49</v>
      </c>
      <c r="E103" t="s">
        <v>22</v>
      </c>
      <c r="F103" t="s">
        <v>18</v>
      </c>
      <c r="G103">
        <f t="shared" si="2"/>
        <v>1144</v>
      </c>
    </row>
    <row r="104" spans="2:7" x14ac:dyDescent="0.3">
      <c r="B104" t="s">
        <v>5</v>
      </c>
      <c r="C104" t="s">
        <v>46</v>
      </c>
      <c r="D104" t="s">
        <v>50</v>
      </c>
      <c r="E104" t="s">
        <v>16</v>
      </c>
      <c r="F104" t="s">
        <v>51</v>
      </c>
      <c r="G104">
        <f t="shared" si="2"/>
        <v>1218</v>
      </c>
    </row>
    <row r="105" spans="2:7" x14ac:dyDescent="0.3">
      <c r="B105" t="s">
        <v>44</v>
      </c>
      <c r="C105" t="s">
        <v>8</v>
      </c>
      <c r="D105" t="s">
        <v>12</v>
      </c>
      <c r="E105" t="s">
        <v>22</v>
      </c>
      <c r="F105" t="s">
        <v>53</v>
      </c>
      <c r="G105">
        <f t="shared" si="2"/>
        <v>1645</v>
      </c>
    </row>
    <row r="106" spans="2:7" x14ac:dyDescent="0.3">
      <c r="B106" t="s">
        <v>43</v>
      </c>
      <c r="C106" t="s">
        <v>8</v>
      </c>
      <c r="D106" t="s">
        <v>12</v>
      </c>
      <c r="E106" t="s">
        <v>16</v>
      </c>
      <c r="F106" t="s">
        <v>52</v>
      </c>
      <c r="G106">
        <f t="shared" si="2"/>
        <v>1197</v>
      </c>
    </row>
    <row r="107" spans="2:7" x14ac:dyDescent="0.3">
      <c r="B107" t="s">
        <v>5</v>
      </c>
      <c r="C107" t="s">
        <v>45</v>
      </c>
      <c r="D107" t="s">
        <v>48</v>
      </c>
      <c r="E107" t="s">
        <v>16</v>
      </c>
      <c r="F107" t="s">
        <v>18</v>
      </c>
      <c r="G107">
        <f t="shared" si="2"/>
        <v>1171</v>
      </c>
    </row>
    <row r="108" spans="2:7" x14ac:dyDescent="0.3">
      <c r="B108" t="s">
        <v>5</v>
      </c>
      <c r="C108" t="s">
        <v>8</v>
      </c>
      <c r="D108" t="s">
        <v>50</v>
      </c>
      <c r="E108" t="s">
        <v>22</v>
      </c>
      <c r="F108" t="s">
        <v>18</v>
      </c>
      <c r="G108">
        <f t="shared" si="2"/>
        <v>960</v>
      </c>
    </row>
    <row r="109" spans="2:7" x14ac:dyDescent="0.3">
      <c r="B109" t="s">
        <v>43</v>
      </c>
      <c r="C109" t="s">
        <v>8</v>
      </c>
      <c r="D109" t="s">
        <v>49</v>
      </c>
      <c r="E109" t="s">
        <v>16</v>
      </c>
      <c r="F109" t="s">
        <v>18</v>
      </c>
      <c r="G109">
        <f t="shared" si="2"/>
        <v>1245</v>
      </c>
    </row>
    <row r="110" spans="2:7" x14ac:dyDescent="0.3">
      <c r="B110" t="s">
        <v>44</v>
      </c>
      <c r="C110" t="s">
        <v>45</v>
      </c>
      <c r="D110" t="s">
        <v>50</v>
      </c>
      <c r="E110" t="s">
        <v>22</v>
      </c>
      <c r="F110" t="s">
        <v>51</v>
      </c>
      <c r="G110">
        <f t="shared" si="2"/>
        <v>1591</v>
      </c>
    </row>
    <row r="111" spans="2:7" x14ac:dyDescent="0.3">
      <c r="B111" t="s">
        <v>44</v>
      </c>
      <c r="C111" t="s">
        <v>47</v>
      </c>
      <c r="D111" t="s">
        <v>50</v>
      </c>
      <c r="E111" t="s">
        <v>16</v>
      </c>
      <c r="F111" t="s">
        <v>53</v>
      </c>
      <c r="G111">
        <f t="shared" si="2"/>
        <v>1984</v>
      </c>
    </row>
    <row r="112" spans="2:7" x14ac:dyDescent="0.3">
      <c r="B112" t="s">
        <v>43</v>
      </c>
      <c r="C112" t="s">
        <v>46</v>
      </c>
      <c r="D112" t="s">
        <v>48</v>
      </c>
      <c r="E112" t="s">
        <v>22</v>
      </c>
      <c r="F112" t="s">
        <v>53</v>
      </c>
      <c r="G112">
        <f t="shared" si="2"/>
        <v>1463</v>
      </c>
    </row>
    <row r="113" spans="2:7" x14ac:dyDescent="0.3">
      <c r="B113" t="s">
        <v>44</v>
      </c>
      <c r="C113" t="s">
        <v>46</v>
      </c>
      <c r="D113" t="s">
        <v>49</v>
      </c>
      <c r="E113" t="s">
        <v>22</v>
      </c>
      <c r="F113" t="s">
        <v>18</v>
      </c>
      <c r="G113">
        <f t="shared" si="2"/>
        <v>1608</v>
      </c>
    </row>
    <row r="114" spans="2:7" x14ac:dyDescent="0.3">
      <c r="B114" t="s">
        <v>43</v>
      </c>
      <c r="C114" t="s">
        <v>46</v>
      </c>
      <c r="D114" t="s">
        <v>12</v>
      </c>
      <c r="E114" t="s">
        <v>22</v>
      </c>
      <c r="F114" t="s">
        <v>51</v>
      </c>
      <c r="G114">
        <f t="shared" si="2"/>
        <v>1193</v>
      </c>
    </row>
    <row r="115" spans="2:7" x14ac:dyDescent="0.3">
      <c r="B115" t="s">
        <v>5</v>
      </c>
      <c r="C115" t="s">
        <v>45</v>
      </c>
      <c r="D115" t="s">
        <v>49</v>
      </c>
      <c r="E115" t="s">
        <v>22</v>
      </c>
      <c r="F115" t="s">
        <v>51</v>
      </c>
      <c r="G115">
        <f t="shared" si="2"/>
        <v>1081</v>
      </c>
    </row>
    <row r="116" spans="2:7" x14ac:dyDescent="0.3">
      <c r="B116" t="s">
        <v>43</v>
      </c>
      <c r="C116" t="s">
        <v>46</v>
      </c>
      <c r="D116" t="s">
        <v>48</v>
      </c>
      <c r="E116" t="s">
        <v>16</v>
      </c>
      <c r="F116" t="s">
        <v>52</v>
      </c>
      <c r="G116">
        <f t="shared" si="2"/>
        <v>1395</v>
      </c>
    </row>
    <row r="117" spans="2:7" x14ac:dyDescent="0.3">
      <c r="B117" t="s">
        <v>44</v>
      </c>
      <c r="C117" t="s">
        <v>47</v>
      </c>
      <c r="D117" t="s">
        <v>48</v>
      </c>
      <c r="E117" t="s">
        <v>16</v>
      </c>
      <c r="F117" t="s">
        <v>18</v>
      </c>
      <c r="G117">
        <f t="shared" si="2"/>
        <v>1809</v>
      </c>
    </row>
    <row r="118" spans="2:7" x14ac:dyDescent="0.3">
      <c r="B118" t="s">
        <v>43</v>
      </c>
      <c r="C118" t="s">
        <v>45</v>
      </c>
      <c r="D118" t="s">
        <v>49</v>
      </c>
      <c r="E118" t="s">
        <v>16</v>
      </c>
      <c r="F118" t="s">
        <v>52</v>
      </c>
      <c r="G118">
        <f t="shared" si="2"/>
        <v>1333</v>
      </c>
    </row>
    <row r="119" spans="2:7" x14ac:dyDescent="0.3">
      <c r="B119" t="s">
        <v>43</v>
      </c>
      <c r="C119" t="s">
        <v>47</v>
      </c>
      <c r="D119" t="s">
        <v>48</v>
      </c>
      <c r="E119" t="s">
        <v>22</v>
      </c>
      <c r="F119" t="s">
        <v>53</v>
      </c>
      <c r="G119">
        <f t="shared" si="2"/>
        <v>1529</v>
      </c>
    </row>
    <row r="120" spans="2:7" x14ac:dyDescent="0.3">
      <c r="B120" t="s">
        <v>5</v>
      </c>
      <c r="C120" t="s">
        <v>46</v>
      </c>
      <c r="D120" t="s">
        <v>48</v>
      </c>
      <c r="E120" t="s">
        <v>16</v>
      </c>
      <c r="F120" t="s">
        <v>51</v>
      </c>
      <c r="G120">
        <f t="shared" si="2"/>
        <v>1258</v>
      </c>
    </row>
    <row r="121" spans="2:7" x14ac:dyDescent="0.3">
      <c r="B121" t="s">
        <v>43</v>
      </c>
      <c r="C121" t="s">
        <v>8</v>
      </c>
      <c r="D121" t="s">
        <v>50</v>
      </c>
      <c r="E121" t="s">
        <v>22</v>
      </c>
      <c r="F121" t="s">
        <v>52</v>
      </c>
      <c r="G121">
        <f t="shared" si="2"/>
        <v>1142</v>
      </c>
    </row>
    <row r="122" spans="2:7" x14ac:dyDescent="0.3">
      <c r="B122" t="s">
        <v>43</v>
      </c>
      <c r="C122" t="s">
        <v>45</v>
      </c>
      <c r="D122" t="s">
        <v>48</v>
      </c>
      <c r="E122" t="s">
        <v>22</v>
      </c>
      <c r="F122" t="s">
        <v>51</v>
      </c>
      <c r="G122">
        <f t="shared" si="2"/>
        <v>1251</v>
      </c>
    </row>
    <row r="123" spans="2:7" x14ac:dyDescent="0.3">
      <c r="B123" t="s">
        <v>5</v>
      </c>
      <c r="C123" t="s">
        <v>8</v>
      </c>
      <c r="D123" t="s">
        <v>48</v>
      </c>
      <c r="E123" t="s">
        <v>16</v>
      </c>
      <c r="F123" t="s">
        <v>52</v>
      </c>
      <c r="G123">
        <f t="shared" si="2"/>
        <v>1147</v>
      </c>
    </row>
    <row r="124" spans="2:7" x14ac:dyDescent="0.3">
      <c r="B124" t="s">
        <v>43</v>
      </c>
      <c r="C124" t="s">
        <v>47</v>
      </c>
      <c r="D124" t="s">
        <v>50</v>
      </c>
      <c r="E124" t="s">
        <v>16</v>
      </c>
      <c r="F124" t="s">
        <v>18</v>
      </c>
      <c r="G124">
        <f t="shared" si="2"/>
        <v>1389</v>
      </c>
    </row>
    <row r="125" spans="2:7" x14ac:dyDescent="0.3">
      <c r="B125" t="s">
        <v>5</v>
      </c>
      <c r="C125" t="s">
        <v>45</v>
      </c>
      <c r="D125" t="s">
        <v>12</v>
      </c>
      <c r="E125" t="s">
        <v>22</v>
      </c>
      <c r="F125" t="s">
        <v>53</v>
      </c>
      <c r="G125">
        <f t="shared" si="2"/>
        <v>1171</v>
      </c>
    </row>
    <row r="126" spans="2:7" x14ac:dyDescent="0.3">
      <c r="B126" t="s">
        <v>44</v>
      </c>
      <c r="C126" t="s">
        <v>47</v>
      </c>
      <c r="D126" t="s">
        <v>48</v>
      </c>
      <c r="E126" t="s">
        <v>22</v>
      </c>
      <c r="F126" t="s">
        <v>51</v>
      </c>
      <c r="G126">
        <f t="shared" si="2"/>
        <v>1739</v>
      </c>
    </row>
    <row r="127" spans="2:7" x14ac:dyDescent="0.3">
      <c r="B127" t="s">
        <v>43</v>
      </c>
      <c r="C127" t="s">
        <v>8</v>
      </c>
      <c r="D127" t="s">
        <v>50</v>
      </c>
      <c r="E127" t="s">
        <v>16</v>
      </c>
      <c r="F127" t="s">
        <v>53</v>
      </c>
      <c r="G127">
        <f t="shared" si="2"/>
        <v>1440</v>
      </c>
    </row>
    <row r="128" spans="2:7" x14ac:dyDescent="0.3">
      <c r="B128" t="s">
        <v>43</v>
      </c>
      <c r="C128" t="s">
        <v>47</v>
      </c>
      <c r="D128" t="s">
        <v>50</v>
      </c>
      <c r="E128" t="s">
        <v>22</v>
      </c>
      <c r="F128" t="s">
        <v>51</v>
      </c>
      <c r="G128">
        <f t="shared" si="2"/>
        <v>1319</v>
      </c>
    </row>
    <row r="129" spans="2:7" x14ac:dyDescent="0.3">
      <c r="B129" t="s">
        <v>44</v>
      </c>
      <c r="C129" t="s">
        <v>8</v>
      </c>
      <c r="D129" t="s">
        <v>49</v>
      </c>
      <c r="E129" t="s">
        <v>16</v>
      </c>
      <c r="F129" t="s">
        <v>52</v>
      </c>
      <c r="G129">
        <f t="shared" si="2"/>
        <v>1657</v>
      </c>
    </row>
    <row r="130" spans="2:7" x14ac:dyDescent="0.3">
      <c r="B130" t="s">
        <v>5</v>
      </c>
      <c r="C130" t="s">
        <v>46</v>
      </c>
      <c r="D130" t="s">
        <v>50</v>
      </c>
      <c r="E130" t="s">
        <v>16</v>
      </c>
      <c r="F130" t="s">
        <v>53</v>
      </c>
      <c r="G130">
        <f t="shared" si="2"/>
        <v>1388</v>
      </c>
    </row>
    <row r="131" spans="2:7" x14ac:dyDescent="0.3">
      <c r="B131" t="s">
        <v>5</v>
      </c>
      <c r="C131" t="s">
        <v>46</v>
      </c>
      <c r="D131" t="s">
        <v>12</v>
      </c>
      <c r="E131" t="s">
        <v>16</v>
      </c>
      <c r="F131" t="s">
        <v>18</v>
      </c>
      <c r="G131">
        <f t="shared" si="2"/>
        <v>1113</v>
      </c>
    </row>
    <row r="132" spans="2:7" x14ac:dyDescent="0.3">
      <c r="B132" t="s">
        <v>43</v>
      </c>
      <c r="C132" t="s">
        <v>8</v>
      </c>
      <c r="D132" t="s">
        <v>48</v>
      </c>
      <c r="E132" t="s">
        <v>22</v>
      </c>
      <c r="F132" t="s">
        <v>53</v>
      </c>
      <c r="G132">
        <f t="shared" si="2"/>
        <v>1365</v>
      </c>
    </row>
    <row r="133" spans="2:7" x14ac:dyDescent="0.3">
      <c r="B133" t="s">
        <v>5</v>
      </c>
      <c r="C133" t="s">
        <v>47</v>
      </c>
      <c r="D133" t="s">
        <v>49</v>
      </c>
      <c r="E133" t="s">
        <v>16</v>
      </c>
      <c r="F133" t="s">
        <v>51</v>
      </c>
      <c r="G133">
        <f t="shared" si="2"/>
        <v>1304</v>
      </c>
    </row>
    <row r="134" spans="2:7" x14ac:dyDescent="0.3">
      <c r="B134" t="s">
        <v>5</v>
      </c>
      <c r="C134" t="s">
        <v>47</v>
      </c>
      <c r="D134" t="s">
        <v>12</v>
      </c>
      <c r="E134" t="s">
        <v>16</v>
      </c>
      <c r="F134" t="s">
        <v>53</v>
      </c>
      <c r="G134">
        <f t="shared" si="2"/>
        <v>1394</v>
      </c>
    </row>
    <row r="135" spans="2:7" x14ac:dyDescent="0.3">
      <c r="B135" t="s">
        <v>44</v>
      </c>
      <c r="C135" t="s">
        <v>45</v>
      </c>
      <c r="D135" t="s">
        <v>50</v>
      </c>
      <c r="E135" t="s">
        <v>22</v>
      </c>
      <c r="F135" t="s">
        <v>18</v>
      </c>
      <c r="G135">
        <f t="shared" si="2"/>
        <v>1546</v>
      </c>
    </row>
    <row r="136" spans="2:7" x14ac:dyDescent="0.3">
      <c r="B136" t="s">
        <v>44</v>
      </c>
      <c r="C136" t="s">
        <v>45</v>
      </c>
      <c r="D136" t="s">
        <v>48</v>
      </c>
      <c r="E136" t="s">
        <v>16</v>
      </c>
      <c r="F136" t="s">
        <v>53</v>
      </c>
      <c r="G136">
        <f t="shared" ref="G136:G142" si="3">VLOOKUP(B136,$N$3:$O$19,2,FALSE)+VLOOKUP(C136,$N$3:$O$19,2,FALSE)+VLOOKUP(D136,$N$3:$O$19,2,FALSE)+VLOOKUP(E136,$N$3:$O$19,2,FALSE)+VLOOKUP(F136,$N$3:$O$19,2,FALSE)</f>
        <v>1916</v>
      </c>
    </row>
    <row r="137" spans="2:7" x14ac:dyDescent="0.3">
      <c r="B137" t="s">
        <v>44</v>
      </c>
      <c r="C137" t="s">
        <v>45</v>
      </c>
      <c r="D137" t="s">
        <v>12</v>
      </c>
      <c r="E137" t="s">
        <v>16</v>
      </c>
      <c r="F137" t="s">
        <v>51</v>
      </c>
      <c r="G137">
        <f t="shared" si="3"/>
        <v>1646</v>
      </c>
    </row>
    <row r="138" spans="2:7" x14ac:dyDescent="0.3">
      <c r="B138" t="s">
        <v>5</v>
      </c>
      <c r="C138" t="s">
        <v>8</v>
      </c>
      <c r="D138" t="s">
        <v>48</v>
      </c>
      <c r="E138" t="s">
        <v>16</v>
      </c>
      <c r="F138" t="s">
        <v>51</v>
      </c>
      <c r="G138">
        <f t="shared" si="3"/>
        <v>1160</v>
      </c>
    </row>
    <row r="139" spans="2:7" x14ac:dyDescent="0.3">
      <c r="B139" t="s">
        <v>43</v>
      </c>
      <c r="C139" t="s">
        <v>46</v>
      </c>
      <c r="D139" t="s">
        <v>49</v>
      </c>
      <c r="E139" t="s">
        <v>16</v>
      </c>
      <c r="F139" t="s">
        <v>18</v>
      </c>
      <c r="G139">
        <f t="shared" si="3"/>
        <v>1343</v>
      </c>
    </row>
    <row r="140" spans="2:7" x14ac:dyDescent="0.3">
      <c r="B140" t="s">
        <v>5</v>
      </c>
      <c r="C140" t="s">
        <v>45</v>
      </c>
      <c r="D140" t="s">
        <v>48</v>
      </c>
      <c r="E140" t="s">
        <v>22</v>
      </c>
      <c r="F140" t="s">
        <v>52</v>
      </c>
      <c r="G140">
        <f t="shared" si="3"/>
        <v>1088</v>
      </c>
    </row>
    <row r="141" spans="2:7" x14ac:dyDescent="0.3">
      <c r="B141" t="s">
        <v>43</v>
      </c>
      <c r="C141" t="s">
        <v>46</v>
      </c>
      <c r="D141" t="s">
        <v>12</v>
      </c>
      <c r="E141" t="s">
        <v>22</v>
      </c>
      <c r="F141" t="s">
        <v>53</v>
      </c>
      <c r="G141">
        <f t="shared" si="3"/>
        <v>1363</v>
      </c>
    </row>
    <row r="142" spans="2:7" x14ac:dyDescent="0.3">
      <c r="B142" t="s">
        <v>44</v>
      </c>
      <c r="C142" t="s">
        <v>46</v>
      </c>
      <c r="D142" t="s">
        <v>48</v>
      </c>
      <c r="E142" t="s">
        <v>16</v>
      </c>
      <c r="F142" t="s">
        <v>53</v>
      </c>
      <c r="G142">
        <f t="shared" si="3"/>
        <v>1958</v>
      </c>
    </row>
  </sheetData>
  <sortState xmlns:xlrd2="http://schemas.microsoft.com/office/spreadsheetml/2017/richdata2" ref="A31:G43">
    <sortCondition ref="A31:A43"/>
  </sortState>
  <phoneticPr fontId="5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FB11-D792-4B9B-B946-0A4C0CB2DB52}">
  <dimension ref="A1:F92"/>
  <sheetViews>
    <sheetView workbookViewId="0">
      <selection activeCell="L16" sqref="L16"/>
    </sheetView>
  </sheetViews>
  <sheetFormatPr defaultRowHeight="14.4" x14ac:dyDescent="0.3"/>
  <sheetData>
    <row r="1" spans="1:6" x14ac:dyDescent="0.3">
      <c r="A1" s="1" t="s">
        <v>54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</row>
    <row r="3" spans="1:6" x14ac:dyDescent="0.3">
      <c r="A3" t="s">
        <v>5</v>
      </c>
      <c r="B3" t="s">
        <v>46</v>
      </c>
      <c r="C3" t="s">
        <v>48</v>
      </c>
      <c r="D3" t="s">
        <v>16</v>
      </c>
      <c r="E3" t="s">
        <v>18</v>
      </c>
    </row>
    <row r="4" spans="1:6" x14ac:dyDescent="0.3">
      <c r="A4" t="s">
        <v>43</v>
      </c>
      <c r="B4" t="s">
        <v>45</v>
      </c>
      <c r="C4" t="s">
        <v>48</v>
      </c>
      <c r="D4" t="s">
        <v>22</v>
      </c>
      <c r="E4" t="s">
        <v>52</v>
      </c>
    </row>
    <row r="5" spans="1:6" x14ac:dyDescent="0.3">
      <c r="A5" t="s">
        <v>44</v>
      </c>
      <c r="B5" t="s">
        <v>8</v>
      </c>
      <c r="C5" t="s">
        <v>12</v>
      </c>
      <c r="D5" t="s">
        <v>16</v>
      </c>
      <c r="E5" t="s">
        <v>52</v>
      </c>
    </row>
    <row r="6" spans="1:6" x14ac:dyDescent="0.3">
      <c r="A6" t="s">
        <v>44</v>
      </c>
      <c r="B6" t="s">
        <v>45</v>
      </c>
      <c r="C6" t="s">
        <v>50</v>
      </c>
      <c r="D6" t="s">
        <v>16</v>
      </c>
      <c r="E6" t="s">
        <v>53</v>
      </c>
    </row>
    <row r="7" spans="1:6" x14ac:dyDescent="0.3">
      <c r="A7" t="s">
        <v>44</v>
      </c>
      <c r="B7" t="s">
        <v>47</v>
      </c>
      <c r="C7" t="s">
        <v>49</v>
      </c>
      <c r="D7" t="s">
        <v>22</v>
      </c>
      <c r="E7" t="s">
        <v>51</v>
      </c>
    </row>
    <row r="8" spans="1:6" x14ac:dyDescent="0.3">
      <c r="A8" t="s">
        <v>5</v>
      </c>
      <c r="B8" t="s">
        <v>8</v>
      </c>
      <c r="C8" t="s">
        <v>50</v>
      </c>
      <c r="D8" t="s">
        <v>22</v>
      </c>
      <c r="E8" t="s">
        <v>18</v>
      </c>
    </row>
    <row r="9" spans="1:6" x14ac:dyDescent="0.3">
      <c r="A9" t="s">
        <v>43</v>
      </c>
      <c r="B9" t="s">
        <v>47</v>
      </c>
      <c r="C9" t="s">
        <v>50</v>
      </c>
      <c r="D9" t="s">
        <v>16</v>
      </c>
      <c r="E9" t="s">
        <v>52</v>
      </c>
    </row>
    <row r="10" spans="1:6" x14ac:dyDescent="0.3">
      <c r="A10" t="s">
        <v>43</v>
      </c>
      <c r="B10" t="s">
        <v>46</v>
      </c>
      <c r="C10" t="s">
        <v>49</v>
      </c>
      <c r="D10" t="s">
        <v>22</v>
      </c>
      <c r="E10" t="s">
        <v>53</v>
      </c>
    </row>
    <row r="11" spans="1:6" x14ac:dyDescent="0.3">
      <c r="A11" t="s">
        <v>43</v>
      </c>
      <c r="B11" t="s">
        <v>45</v>
      </c>
      <c r="C11" t="s">
        <v>12</v>
      </c>
      <c r="D11" t="s">
        <v>22</v>
      </c>
      <c r="E11" t="s">
        <v>18</v>
      </c>
    </row>
    <row r="12" spans="1:6" x14ac:dyDescent="0.3">
      <c r="A12" t="s">
        <v>5</v>
      </c>
      <c r="B12" t="s">
        <v>8</v>
      </c>
      <c r="C12" t="s">
        <v>49</v>
      </c>
      <c r="D12" t="s">
        <v>16</v>
      </c>
      <c r="E12" t="s">
        <v>51</v>
      </c>
    </row>
    <row r="13" spans="1:6" x14ac:dyDescent="0.3">
      <c r="A13" t="s">
        <v>44</v>
      </c>
      <c r="B13" t="s">
        <v>46</v>
      </c>
      <c r="C13" t="s">
        <v>48</v>
      </c>
      <c r="D13" t="s">
        <v>16</v>
      </c>
      <c r="E13" t="s">
        <v>51</v>
      </c>
    </row>
    <row r="14" spans="1:6" x14ac:dyDescent="0.3">
      <c r="A14" t="s">
        <v>5</v>
      </c>
      <c r="B14" t="s">
        <v>46</v>
      </c>
      <c r="C14" t="s">
        <v>12</v>
      </c>
      <c r="D14" t="s">
        <v>22</v>
      </c>
      <c r="E14" t="s">
        <v>52</v>
      </c>
    </row>
    <row r="15" spans="1:6" x14ac:dyDescent="0.3">
      <c r="A15" t="s">
        <v>5</v>
      </c>
      <c r="B15" t="s">
        <v>47</v>
      </c>
      <c r="C15" t="s">
        <v>12</v>
      </c>
      <c r="D15" t="s">
        <v>22</v>
      </c>
      <c r="E15" t="s">
        <v>51</v>
      </c>
    </row>
    <row r="16" spans="1:6" x14ac:dyDescent="0.3">
      <c r="A16" t="s">
        <v>43</v>
      </c>
      <c r="B16" t="s">
        <v>8</v>
      </c>
      <c r="C16" t="s">
        <v>12</v>
      </c>
      <c r="D16" t="s">
        <v>16</v>
      </c>
      <c r="E16" t="s">
        <v>53</v>
      </c>
    </row>
    <row r="17" spans="1:6" x14ac:dyDescent="0.3">
      <c r="A17" t="s">
        <v>43</v>
      </c>
      <c r="B17" t="s">
        <v>46</v>
      </c>
      <c r="C17" t="s">
        <v>50</v>
      </c>
      <c r="D17" t="s">
        <v>16</v>
      </c>
      <c r="E17" t="s">
        <v>51</v>
      </c>
    </row>
    <row r="18" spans="1:6" x14ac:dyDescent="0.3">
      <c r="A18" t="s">
        <v>5</v>
      </c>
      <c r="B18" t="s">
        <v>47</v>
      </c>
      <c r="C18" t="s">
        <v>48</v>
      </c>
      <c r="D18" t="s">
        <v>16</v>
      </c>
      <c r="E18" t="s">
        <v>53</v>
      </c>
    </row>
    <row r="19" spans="1:6" x14ac:dyDescent="0.3">
      <c r="A19" t="s">
        <v>5</v>
      </c>
      <c r="B19" t="s">
        <v>45</v>
      </c>
      <c r="C19" t="s">
        <v>49</v>
      </c>
      <c r="D19" t="s">
        <v>16</v>
      </c>
      <c r="E19" t="s">
        <v>51</v>
      </c>
    </row>
    <row r="20" spans="1:6" x14ac:dyDescent="0.3">
      <c r="A20" t="s">
        <v>44</v>
      </c>
      <c r="B20" t="s">
        <v>47</v>
      </c>
      <c r="C20" t="s">
        <v>49</v>
      </c>
      <c r="D20" t="s">
        <v>16</v>
      </c>
      <c r="E20" t="s">
        <v>18</v>
      </c>
    </row>
    <row r="21" spans="1:6" x14ac:dyDescent="0.3">
      <c r="A21" t="s">
        <v>43</v>
      </c>
      <c r="B21" t="s">
        <v>8</v>
      </c>
      <c r="C21" t="s">
        <v>49</v>
      </c>
      <c r="D21" t="s">
        <v>22</v>
      </c>
      <c r="E21" t="s">
        <v>52</v>
      </c>
    </row>
    <row r="22" spans="1:6" x14ac:dyDescent="0.3">
      <c r="A22" t="s">
        <v>43</v>
      </c>
      <c r="B22" t="s">
        <v>8</v>
      </c>
      <c r="C22" t="s">
        <v>48</v>
      </c>
      <c r="D22" t="s">
        <v>22</v>
      </c>
      <c r="E22" t="s">
        <v>52</v>
      </c>
    </row>
    <row r="24" spans="1:6" x14ac:dyDescent="0.3">
      <c r="A24" s="1" t="s">
        <v>56</v>
      </c>
    </row>
    <row r="25" spans="1:6" x14ac:dyDescent="0.3">
      <c r="A25" t="s">
        <v>5</v>
      </c>
      <c r="B25" t="s">
        <v>47</v>
      </c>
      <c r="C25" t="s">
        <v>48</v>
      </c>
      <c r="D25" t="s">
        <v>22</v>
      </c>
      <c r="E25" t="s">
        <v>52</v>
      </c>
    </row>
    <row r="26" spans="1:6" x14ac:dyDescent="0.3">
      <c r="A26" t="s">
        <v>44</v>
      </c>
      <c r="B26" t="s">
        <v>46</v>
      </c>
      <c r="C26" t="s">
        <v>12</v>
      </c>
      <c r="D26" t="s">
        <v>16</v>
      </c>
      <c r="E26" t="s">
        <v>53</v>
      </c>
      <c r="F26" s="1"/>
    </row>
    <row r="27" spans="1:6" x14ac:dyDescent="0.3">
      <c r="A27" t="s">
        <v>43</v>
      </c>
      <c r="B27" t="s">
        <v>46</v>
      </c>
      <c r="C27" t="s">
        <v>50</v>
      </c>
      <c r="D27" t="s">
        <v>22</v>
      </c>
      <c r="E27" t="s">
        <v>18</v>
      </c>
    </row>
    <row r="28" spans="1:6" x14ac:dyDescent="0.3">
      <c r="A28" t="s">
        <v>5</v>
      </c>
      <c r="B28" t="s">
        <v>8</v>
      </c>
      <c r="C28" t="s">
        <v>12</v>
      </c>
      <c r="D28" t="s">
        <v>16</v>
      </c>
      <c r="E28" t="s">
        <v>18</v>
      </c>
    </row>
    <row r="29" spans="1:6" x14ac:dyDescent="0.3">
      <c r="A29" t="s">
        <v>44</v>
      </c>
      <c r="B29" t="s">
        <v>47</v>
      </c>
      <c r="C29" t="s">
        <v>49</v>
      </c>
      <c r="D29" t="s">
        <v>16</v>
      </c>
      <c r="E29" t="s">
        <v>52</v>
      </c>
    </row>
    <row r="30" spans="1:6" x14ac:dyDescent="0.3">
      <c r="A30" t="s">
        <v>44</v>
      </c>
      <c r="B30" t="s">
        <v>47</v>
      </c>
      <c r="C30" t="s">
        <v>12</v>
      </c>
      <c r="D30" t="s">
        <v>22</v>
      </c>
      <c r="E30" t="s">
        <v>18</v>
      </c>
    </row>
    <row r="31" spans="1:6" x14ac:dyDescent="0.3">
      <c r="A31" t="s">
        <v>43</v>
      </c>
      <c r="B31" t="s">
        <v>8</v>
      </c>
      <c r="C31" t="s">
        <v>12</v>
      </c>
      <c r="D31" t="s">
        <v>22</v>
      </c>
      <c r="E31" t="s">
        <v>51</v>
      </c>
    </row>
    <row r="32" spans="1:6" x14ac:dyDescent="0.3">
      <c r="A32" t="s">
        <v>43</v>
      </c>
      <c r="B32" t="s">
        <v>45</v>
      </c>
      <c r="C32" t="s">
        <v>50</v>
      </c>
      <c r="D32" t="s">
        <v>16</v>
      </c>
      <c r="E32" t="s">
        <v>52</v>
      </c>
    </row>
    <row r="33" spans="1:5" x14ac:dyDescent="0.3">
      <c r="A33" t="s">
        <v>44</v>
      </c>
      <c r="B33" t="s">
        <v>46</v>
      </c>
      <c r="C33" t="s">
        <v>49</v>
      </c>
      <c r="D33" t="s">
        <v>22</v>
      </c>
      <c r="E33" t="s">
        <v>51</v>
      </c>
    </row>
    <row r="34" spans="1:5" x14ac:dyDescent="0.3">
      <c r="A34" t="s">
        <v>5</v>
      </c>
      <c r="B34" t="s">
        <v>45</v>
      </c>
      <c r="C34" t="s">
        <v>50</v>
      </c>
      <c r="D34" t="s">
        <v>22</v>
      </c>
      <c r="E34" t="s">
        <v>53</v>
      </c>
    </row>
    <row r="35" spans="1:5" x14ac:dyDescent="0.3">
      <c r="A35" t="s">
        <v>5</v>
      </c>
      <c r="B35" t="s">
        <v>45</v>
      </c>
      <c r="C35" t="s">
        <v>12</v>
      </c>
      <c r="D35" t="s">
        <v>16</v>
      </c>
      <c r="E35" t="s">
        <v>51</v>
      </c>
    </row>
    <row r="36" spans="1:5" x14ac:dyDescent="0.3">
      <c r="A36" t="s">
        <v>43</v>
      </c>
      <c r="B36" t="s">
        <v>8</v>
      </c>
      <c r="C36" t="s">
        <v>49</v>
      </c>
      <c r="D36" t="s">
        <v>16</v>
      </c>
      <c r="E36" t="s">
        <v>51</v>
      </c>
    </row>
    <row r="37" spans="1:5" x14ac:dyDescent="0.3">
      <c r="A37" t="s">
        <v>43</v>
      </c>
      <c r="B37" t="s">
        <v>47</v>
      </c>
      <c r="C37" t="s">
        <v>12</v>
      </c>
      <c r="D37" t="s">
        <v>16</v>
      </c>
      <c r="E37" t="s">
        <v>51</v>
      </c>
    </row>
    <row r="38" spans="1:5" x14ac:dyDescent="0.3">
      <c r="A38" t="s">
        <v>44</v>
      </c>
      <c r="B38" t="s">
        <v>8</v>
      </c>
      <c r="C38" t="s">
        <v>50</v>
      </c>
      <c r="D38" t="s">
        <v>16</v>
      </c>
      <c r="E38" t="s">
        <v>51</v>
      </c>
    </row>
    <row r="39" spans="1:5" x14ac:dyDescent="0.3">
      <c r="A39" t="s">
        <v>44</v>
      </c>
      <c r="B39" t="s">
        <v>46</v>
      </c>
      <c r="C39" t="s">
        <v>50</v>
      </c>
      <c r="D39" t="s">
        <v>22</v>
      </c>
      <c r="E39" t="s">
        <v>52</v>
      </c>
    </row>
    <row r="40" spans="1:5" x14ac:dyDescent="0.3">
      <c r="A40" t="s">
        <v>5</v>
      </c>
      <c r="B40" t="s">
        <v>46</v>
      </c>
      <c r="C40" t="s">
        <v>49</v>
      </c>
      <c r="D40" t="s">
        <v>16</v>
      </c>
      <c r="E40" t="s">
        <v>52</v>
      </c>
    </row>
    <row r="41" spans="1:5" x14ac:dyDescent="0.3">
      <c r="A41" t="s">
        <v>43</v>
      </c>
      <c r="B41" t="s">
        <v>47</v>
      </c>
      <c r="C41" t="s">
        <v>12</v>
      </c>
      <c r="D41" t="s">
        <v>22</v>
      </c>
      <c r="E41" t="s">
        <v>52</v>
      </c>
    </row>
    <row r="42" spans="1:5" x14ac:dyDescent="0.3">
      <c r="A42" t="s">
        <v>5</v>
      </c>
      <c r="B42" t="s">
        <v>8</v>
      </c>
      <c r="C42" t="s">
        <v>49</v>
      </c>
      <c r="D42" t="s">
        <v>22</v>
      </c>
      <c r="E42" t="s">
        <v>52</v>
      </c>
    </row>
    <row r="43" spans="1:5" x14ac:dyDescent="0.3">
      <c r="A43" t="s">
        <v>44</v>
      </c>
      <c r="B43" t="s">
        <v>45</v>
      </c>
      <c r="C43" t="s">
        <v>48</v>
      </c>
      <c r="D43" t="s">
        <v>22</v>
      </c>
      <c r="E43" t="s">
        <v>52</v>
      </c>
    </row>
    <row r="44" spans="1:5" x14ac:dyDescent="0.3">
      <c r="A44" t="s">
        <v>43</v>
      </c>
      <c r="B44" t="s">
        <v>45</v>
      </c>
      <c r="C44" t="s">
        <v>49</v>
      </c>
      <c r="D44" t="s">
        <v>16</v>
      </c>
      <c r="E44" t="s">
        <v>53</v>
      </c>
    </row>
    <row r="45" spans="1:5" x14ac:dyDescent="0.3">
      <c r="A45" t="s">
        <v>43</v>
      </c>
      <c r="B45" t="s">
        <v>46</v>
      </c>
      <c r="C45" t="s">
        <v>48</v>
      </c>
      <c r="D45" t="s">
        <v>16</v>
      </c>
      <c r="E45" t="s">
        <v>18</v>
      </c>
    </row>
    <row r="46" spans="1:5" x14ac:dyDescent="0.3">
      <c r="A46" t="s">
        <v>44</v>
      </c>
      <c r="B46" t="s">
        <v>45</v>
      </c>
      <c r="C46" t="s">
        <v>12</v>
      </c>
      <c r="D46" t="s">
        <v>16</v>
      </c>
      <c r="E46" t="s">
        <v>52</v>
      </c>
    </row>
    <row r="47" spans="1:5" x14ac:dyDescent="0.3">
      <c r="A47" t="s">
        <v>5</v>
      </c>
      <c r="B47" t="s">
        <v>45</v>
      </c>
      <c r="C47" t="s">
        <v>48</v>
      </c>
      <c r="D47" t="s">
        <v>16</v>
      </c>
      <c r="E47" t="s">
        <v>53</v>
      </c>
    </row>
    <row r="48" spans="1:5" x14ac:dyDescent="0.3">
      <c r="A48" t="s">
        <v>44</v>
      </c>
      <c r="B48" t="s">
        <v>8</v>
      </c>
      <c r="C48" t="s">
        <v>48</v>
      </c>
      <c r="D48" t="s">
        <v>22</v>
      </c>
      <c r="E48" t="s">
        <v>18</v>
      </c>
    </row>
    <row r="49" spans="1:5" x14ac:dyDescent="0.3">
      <c r="A49" t="s">
        <v>43</v>
      </c>
      <c r="B49" t="s">
        <v>47</v>
      </c>
      <c r="C49" t="s">
        <v>49</v>
      </c>
      <c r="D49" t="s">
        <v>22</v>
      </c>
      <c r="E49" t="s">
        <v>53</v>
      </c>
    </row>
    <row r="50" spans="1:5" x14ac:dyDescent="0.3">
      <c r="A50" t="s">
        <v>44</v>
      </c>
      <c r="B50" t="s">
        <v>45</v>
      </c>
      <c r="C50" t="s">
        <v>49</v>
      </c>
      <c r="D50" t="s">
        <v>16</v>
      </c>
      <c r="E50" t="s">
        <v>18</v>
      </c>
    </row>
    <row r="51" spans="1:5" x14ac:dyDescent="0.3">
      <c r="A51" t="s">
        <v>44</v>
      </c>
      <c r="B51" t="s">
        <v>46</v>
      </c>
      <c r="C51" t="s">
        <v>49</v>
      </c>
      <c r="D51" t="s">
        <v>22</v>
      </c>
      <c r="E51" t="s">
        <v>53</v>
      </c>
    </row>
    <row r="52" spans="1:5" x14ac:dyDescent="0.3">
      <c r="A52" t="s">
        <v>5</v>
      </c>
      <c r="B52" t="s">
        <v>8</v>
      </c>
      <c r="C52" t="s">
        <v>49</v>
      </c>
      <c r="D52" t="s">
        <v>22</v>
      </c>
      <c r="E52" t="s">
        <v>53</v>
      </c>
    </row>
    <row r="53" spans="1:5" x14ac:dyDescent="0.3">
      <c r="A53" t="s">
        <v>5</v>
      </c>
      <c r="B53" t="s">
        <v>47</v>
      </c>
      <c r="C53" t="s">
        <v>50</v>
      </c>
      <c r="D53" t="s">
        <v>16</v>
      </c>
      <c r="E53" t="s">
        <v>52</v>
      </c>
    </row>
    <row r="54" spans="1:5" x14ac:dyDescent="0.3">
      <c r="A54" t="s">
        <v>5</v>
      </c>
      <c r="B54" t="s">
        <v>47</v>
      </c>
      <c r="C54" t="s">
        <v>49</v>
      </c>
      <c r="D54" t="s">
        <v>22</v>
      </c>
      <c r="E54" t="s">
        <v>18</v>
      </c>
    </row>
    <row r="55" spans="1:5" x14ac:dyDescent="0.3">
      <c r="A55" t="s">
        <v>5</v>
      </c>
      <c r="B55" t="s">
        <v>46</v>
      </c>
      <c r="C55" t="s">
        <v>50</v>
      </c>
      <c r="D55" t="s">
        <v>16</v>
      </c>
      <c r="E55" t="s">
        <v>51</v>
      </c>
    </row>
    <row r="56" spans="1:5" x14ac:dyDescent="0.3">
      <c r="A56" t="s">
        <v>44</v>
      </c>
      <c r="B56" t="s">
        <v>8</v>
      </c>
      <c r="C56" t="s">
        <v>12</v>
      </c>
      <c r="D56" t="s">
        <v>22</v>
      </c>
      <c r="E56" t="s">
        <v>53</v>
      </c>
    </row>
    <row r="57" spans="1:5" x14ac:dyDescent="0.3">
      <c r="A57" t="s">
        <v>43</v>
      </c>
      <c r="B57" t="s">
        <v>8</v>
      </c>
      <c r="C57" t="s">
        <v>12</v>
      </c>
      <c r="D57" t="s">
        <v>16</v>
      </c>
      <c r="E57" t="s">
        <v>52</v>
      </c>
    </row>
    <row r="58" spans="1:5" x14ac:dyDescent="0.3">
      <c r="A58" t="s">
        <v>5</v>
      </c>
      <c r="B58" t="s">
        <v>45</v>
      </c>
      <c r="C58" t="s">
        <v>48</v>
      </c>
      <c r="D58" t="s">
        <v>16</v>
      </c>
      <c r="E58" t="s">
        <v>18</v>
      </c>
    </row>
    <row r="59" spans="1:5" x14ac:dyDescent="0.3">
      <c r="A59" t="s">
        <v>43</v>
      </c>
      <c r="B59" t="s">
        <v>8</v>
      </c>
      <c r="C59" t="s">
        <v>49</v>
      </c>
      <c r="D59" t="s">
        <v>16</v>
      </c>
      <c r="E59" t="s">
        <v>18</v>
      </c>
    </row>
    <row r="60" spans="1:5" x14ac:dyDescent="0.3">
      <c r="A60" t="s">
        <v>44</v>
      </c>
      <c r="B60" t="s">
        <v>45</v>
      </c>
      <c r="C60" t="s">
        <v>50</v>
      </c>
      <c r="D60" t="s">
        <v>22</v>
      </c>
      <c r="E60" t="s">
        <v>51</v>
      </c>
    </row>
    <row r="61" spans="1:5" x14ac:dyDescent="0.3">
      <c r="A61" t="s">
        <v>44</v>
      </c>
      <c r="B61" t="s">
        <v>47</v>
      </c>
      <c r="C61" t="s">
        <v>50</v>
      </c>
      <c r="D61" t="s">
        <v>16</v>
      </c>
      <c r="E61" t="s">
        <v>53</v>
      </c>
    </row>
    <row r="62" spans="1:5" x14ac:dyDescent="0.3">
      <c r="A62" t="s">
        <v>43</v>
      </c>
      <c r="B62" t="s">
        <v>46</v>
      </c>
      <c r="C62" t="s">
        <v>48</v>
      </c>
      <c r="D62" t="s">
        <v>22</v>
      </c>
      <c r="E62" t="s">
        <v>53</v>
      </c>
    </row>
    <row r="63" spans="1:5" x14ac:dyDescent="0.3">
      <c r="A63" t="s">
        <v>44</v>
      </c>
      <c r="B63" t="s">
        <v>46</v>
      </c>
      <c r="C63" t="s">
        <v>49</v>
      </c>
      <c r="D63" t="s">
        <v>22</v>
      </c>
      <c r="E63" t="s">
        <v>18</v>
      </c>
    </row>
    <row r="64" spans="1:5" x14ac:dyDescent="0.3">
      <c r="A64" t="s">
        <v>43</v>
      </c>
      <c r="B64" t="s">
        <v>46</v>
      </c>
      <c r="C64" t="s">
        <v>12</v>
      </c>
      <c r="D64" t="s">
        <v>22</v>
      </c>
      <c r="E64" t="s">
        <v>51</v>
      </c>
    </row>
    <row r="65" spans="1:5" x14ac:dyDescent="0.3">
      <c r="A65" t="s">
        <v>5</v>
      </c>
      <c r="B65" t="s">
        <v>45</v>
      </c>
      <c r="C65" t="s">
        <v>49</v>
      </c>
      <c r="D65" t="s">
        <v>22</v>
      </c>
      <c r="E65" t="s">
        <v>51</v>
      </c>
    </row>
    <row r="66" spans="1:5" x14ac:dyDescent="0.3">
      <c r="A66" t="s">
        <v>43</v>
      </c>
      <c r="B66" t="s">
        <v>46</v>
      </c>
      <c r="C66" t="s">
        <v>48</v>
      </c>
      <c r="D66" t="s">
        <v>16</v>
      </c>
      <c r="E66" t="s">
        <v>52</v>
      </c>
    </row>
    <row r="67" spans="1:5" x14ac:dyDescent="0.3">
      <c r="A67" t="s">
        <v>44</v>
      </c>
      <c r="B67" t="s">
        <v>47</v>
      </c>
      <c r="C67" t="s">
        <v>48</v>
      </c>
      <c r="D67" t="s">
        <v>16</v>
      </c>
      <c r="E67" t="s">
        <v>18</v>
      </c>
    </row>
    <row r="68" spans="1:5" x14ac:dyDescent="0.3">
      <c r="A68" t="s">
        <v>43</v>
      </c>
      <c r="B68" t="s">
        <v>45</v>
      </c>
      <c r="C68" t="s">
        <v>49</v>
      </c>
      <c r="D68" t="s">
        <v>16</v>
      </c>
      <c r="E68" t="s">
        <v>52</v>
      </c>
    </row>
    <row r="69" spans="1:5" x14ac:dyDescent="0.3">
      <c r="A69" t="s">
        <v>43</v>
      </c>
      <c r="B69" t="s">
        <v>47</v>
      </c>
      <c r="C69" t="s">
        <v>48</v>
      </c>
      <c r="D69" t="s">
        <v>22</v>
      </c>
      <c r="E69" t="s">
        <v>53</v>
      </c>
    </row>
    <row r="70" spans="1:5" x14ac:dyDescent="0.3">
      <c r="A70" t="s">
        <v>5</v>
      </c>
      <c r="B70" t="s">
        <v>46</v>
      </c>
      <c r="C70" t="s">
        <v>48</v>
      </c>
      <c r="D70" t="s">
        <v>16</v>
      </c>
      <c r="E70" t="s">
        <v>51</v>
      </c>
    </row>
    <row r="71" spans="1:5" x14ac:dyDescent="0.3">
      <c r="A71" t="s">
        <v>43</v>
      </c>
      <c r="B71" t="s">
        <v>8</v>
      </c>
      <c r="C71" t="s">
        <v>50</v>
      </c>
      <c r="D71" t="s">
        <v>22</v>
      </c>
      <c r="E71" t="s">
        <v>52</v>
      </c>
    </row>
    <row r="72" spans="1:5" x14ac:dyDescent="0.3">
      <c r="A72" t="s">
        <v>43</v>
      </c>
      <c r="B72" t="s">
        <v>45</v>
      </c>
      <c r="C72" t="s">
        <v>48</v>
      </c>
      <c r="D72" t="s">
        <v>22</v>
      </c>
      <c r="E72" t="s">
        <v>51</v>
      </c>
    </row>
    <row r="73" spans="1:5" x14ac:dyDescent="0.3">
      <c r="A73" t="s">
        <v>5</v>
      </c>
      <c r="B73" t="s">
        <v>8</v>
      </c>
      <c r="C73" t="s">
        <v>48</v>
      </c>
      <c r="D73" t="s">
        <v>16</v>
      </c>
      <c r="E73" t="s">
        <v>52</v>
      </c>
    </row>
    <row r="74" spans="1:5" x14ac:dyDescent="0.3">
      <c r="A74" t="s">
        <v>43</v>
      </c>
      <c r="B74" t="s">
        <v>47</v>
      </c>
      <c r="C74" t="s">
        <v>50</v>
      </c>
      <c r="D74" t="s">
        <v>16</v>
      </c>
      <c r="E74" t="s">
        <v>18</v>
      </c>
    </row>
    <row r="75" spans="1:5" x14ac:dyDescent="0.3">
      <c r="A75" t="s">
        <v>5</v>
      </c>
      <c r="B75" t="s">
        <v>45</v>
      </c>
      <c r="C75" t="s">
        <v>12</v>
      </c>
      <c r="D75" t="s">
        <v>22</v>
      </c>
      <c r="E75" t="s">
        <v>53</v>
      </c>
    </row>
    <row r="76" spans="1:5" x14ac:dyDescent="0.3">
      <c r="A76" t="s">
        <v>44</v>
      </c>
      <c r="B76" t="s">
        <v>47</v>
      </c>
      <c r="C76" t="s">
        <v>48</v>
      </c>
      <c r="D76" t="s">
        <v>22</v>
      </c>
      <c r="E76" t="s">
        <v>51</v>
      </c>
    </row>
    <row r="77" spans="1:5" x14ac:dyDescent="0.3">
      <c r="A77" t="s">
        <v>43</v>
      </c>
      <c r="B77" t="s">
        <v>8</v>
      </c>
      <c r="C77" t="s">
        <v>50</v>
      </c>
      <c r="D77" t="s">
        <v>16</v>
      </c>
      <c r="E77" t="s">
        <v>53</v>
      </c>
    </row>
    <row r="78" spans="1:5" x14ac:dyDescent="0.3">
      <c r="A78" t="s">
        <v>43</v>
      </c>
      <c r="B78" t="s">
        <v>47</v>
      </c>
      <c r="C78" t="s">
        <v>50</v>
      </c>
      <c r="D78" t="s">
        <v>22</v>
      </c>
      <c r="E78" t="s">
        <v>51</v>
      </c>
    </row>
    <row r="79" spans="1:5" x14ac:dyDescent="0.3">
      <c r="A79" t="s">
        <v>44</v>
      </c>
      <c r="B79" t="s">
        <v>8</v>
      </c>
      <c r="C79" t="s">
        <v>49</v>
      </c>
      <c r="D79" t="s">
        <v>16</v>
      </c>
      <c r="E79" t="s">
        <v>52</v>
      </c>
    </row>
    <row r="80" spans="1:5" x14ac:dyDescent="0.3">
      <c r="A80" t="s">
        <v>5</v>
      </c>
      <c r="B80" t="s">
        <v>46</v>
      </c>
      <c r="C80" t="s">
        <v>50</v>
      </c>
      <c r="D80" t="s">
        <v>16</v>
      </c>
      <c r="E80" t="s">
        <v>53</v>
      </c>
    </row>
    <row r="81" spans="1:5" x14ac:dyDescent="0.3">
      <c r="A81" t="s">
        <v>5</v>
      </c>
      <c r="B81" t="s">
        <v>46</v>
      </c>
      <c r="C81" t="s">
        <v>12</v>
      </c>
      <c r="D81" t="s">
        <v>16</v>
      </c>
      <c r="E81" t="s">
        <v>18</v>
      </c>
    </row>
    <row r="82" spans="1:5" x14ac:dyDescent="0.3">
      <c r="A82" t="s">
        <v>43</v>
      </c>
      <c r="B82" t="s">
        <v>8</v>
      </c>
      <c r="C82" t="s">
        <v>48</v>
      </c>
      <c r="D82" t="s">
        <v>22</v>
      </c>
      <c r="E82" t="s">
        <v>53</v>
      </c>
    </row>
    <row r="83" spans="1:5" x14ac:dyDescent="0.3">
      <c r="A83" t="s">
        <v>5</v>
      </c>
      <c r="B83" t="s">
        <v>47</v>
      </c>
      <c r="C83" t="s">
        <v>49</v>
      </c>
      <c r="D83" t="s">
        <v>16</v>
      </c>
      <c r="E83" t="s">
        <v>51</v>
      </c>
    </row>
    <row r="84" spans="1:5" x14ac:dyDescent="0.3">
      <c r="A84" t="s">
        <v>5</v>
      </c>
      <c r="B84" t="s">
        <v>47</v>
      </c>
      <c r="C84" t="s">
        <v>12</v>
      </c>
      <c r="D84" t="s">
        <v>16</v>
      </c>
      <c r="E84" t="s">
        <v>53</v>
      </c>
    </row>
    <row r="85" spans="1:5" x14ac:dyDescent="0.3">
      <c r="A85" t="s">
        <v>44</v>
      </c>
      <c r="B85" t="s">
        <v>45</v>
      </c>
      <c r="C85" t="s">
        <v>50</v>
      </c>
      <c r="D85" t="s">
        <v>22</v>
      </c>
      <c r="E85" t="s">
        <v>18</v>
      </c>
    </row>
    <row r="86" spans="1:5" x14ac:dyDescent="0.3">
      <c r="A86" t="s">
        <v>44</v>
      </c>
      <c r="B86" t="s">
        <v>45</v>
      </c>
      <c r="C86" t="s">
        <v>48</v>
      </c>
      <c r="D86" t="s">
        <v>16</v>
      </c>
      <c r="E86" t="s">
        <v>53</v>
      </c>
    </row>
    <row r="87" spans="1:5" x14ac:dyDescent="0.3">
      <c r="A87" t="s">
        <v>44</v>
      </c>
      <c r="B87" t="s">
        <v>45</v>
      </c>
      <c r="C87" t="s">
        <v>12</v>
      </c>
      <c r="D87" t="s">
        <v>16</v>
      </c>
      <c r="E87" t="s">
        <v>51</v>
      </c>
    </row>
    <row r="88" spans="1:5" x14ac:dyDescent="0.3">
      <c r="A88" t="s">
        <v>5</v>
      </c>
      <c r="B88" t="s">
        <v>8</v>
      </c>
      <c r="C88" t="s">
        <v>48</v>
      </c>
      <c r="D88" t="s">
        <v>16</v>
      </c>
      <c r="E88" t="s">
        <v>51</v>
      </c>
    </row>
    <row r="89" spans="1:5" x14ac:dyDescent="0.3">
      <c r="A89" t="s">
        <v>43</v>
      </c>
      <c r="B89" t="s">
        <v>46</v>
      </c>
      <c r="C89" t="s">
        <v>49</v>
      </c>
      <c r="D89" t="s">
        <v>16</v>
      </c>
      <c r="E89" t="s">
        <v>18</v>
      </c>
    </row>
    <row r="90" spans="1:5" x14ac:dyDescent="0.3">
      <c r="A90" t="s">
        <v>5</v>
      </c>
      <c r="B90" t="s">
        <v>45</v>
      </c>
      <c r="C90" t="s">
        <v>48</v>
      </c>
      <c r="D90" t="s">
        <v>22</v>
      </c>
      <c r="E90" t="s">
        <v>52</v>
      </c>
    </row>
    <row r="91" spans="1:5" x14ac:dyDescent="0.3">
      <c r="A91" t="s">
        <v>43</v>
      </c>
      <c r="B91" t="s">
        <v>46</v>
      </c>
      <c r="C91" t="s">
        <v>12</v>
      </c>
      <c r="D91" t="s">
        <v>22</v>
      </c>
      <c r="E91" t="s">
        <v>53</v>
      </c>
    </row>
    <row r="92" spans="1:5" x14ac:dyDescent="0.3">
      <c r="A92" t="s">
        <v>44</v>
      </c>
      <c r="B92" t="s">
        <v>46</v>
      </c>
      <c r="C92" t="s">
        <v>48</v>
      </c>
      <c r="D92" t="s">
        <v>16</v>
      </c>
      <c r="E9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dcterms:created xsi:type="dcterms:W3CDTF">2026-08-13T11:07:17Z</dcterms:created>
  <dcterms:modified xsi:type="dcterms:W3CDTF">2026-09-03T11:29:14Z</dcterms:modified>
</cp:coreProperties>
</file>